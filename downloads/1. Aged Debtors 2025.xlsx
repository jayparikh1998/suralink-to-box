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izkhamosi\Desktop\Temp work\"/>
    </mc:Choice>
  </mc:AlternateContent>
  <xr:revisionPtr revIDLastSave="0" documentId="13_ncr:1_{B3E9A128-8DC0-4875-A17D-04757A5D6D1E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Export 02.12.2022 10.28.31" sheetId="1" state="hidden" r:id="rId1"/>
    <sheet name="AR" sheetId="2" state="hidden" r:id="rId2"/>
    <sheet name="AR 2025" sheetId="6" r:id="rId3"/>
    <sheet name="AR (RP)" sheetId="3" state="hidden" r:id="rId4"/>
  </sheets>
  <definedNames>
    <definedName name="_xlnm.Print_Area" localSheetId="1">AR!$A$1:$Q$37</definedName>
    <definedName name="_xlnm.Print_Area" localSheetId="3">'AR (RP)'!$A$1:$Q$15</definedName>
    <definedName name="_xlnm.Print_Area" localSheetId="2">'AR 2025'!$A$1:$Q$58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8" i="6" l="1"/>
  <c r="M57" i="6"/>
  <c r="M56" i="6"/>
  <c r="M55" i="6"/>
  <c r="G57" i="6"/>
  <c r="H57" i="6"/>
  <c r="I57" i="6"/>
  <c r="J57" i="6"/>
  <c r="K57" i="6"/>
  <c r="L57" i="6"/>
  <c r="F57" i="6"/>
  <c r="F55" i="6"/>
  <c r="A8" i="6" l="1"/>
  <c r="U6" i="6" l="1"/>
  <c r="U9" i="6"/>
  <c r="V9" i="6"/>
  <c r="W9" i="6"/>
  <c r="X9" i="6"/>
  <c r="Y9" i="6"/>
  <c r="Z9" i="6"/>
  <c r="AA9" i="6"/>
  <c r="U18" i="6"/>
  <c r="V18" i="6"/>
  <c r="W18" i="6"/>
  <c r="X18" i="6"/>
  <c r="Y18" i="6"/>
  <c r="Z18" i="6"/>
  <c r="AA18" i="6"/>
  <c r="U17" i="6"/>
  <c r="V17" i="6"/>
  <c r="W17" i="6"/>
  <c r="X17" i="6"/>
  <c r="Y17" i="6"/>
  <c r="Z17" i="6"/>
  <c r="AA17" i="6"/>
  <c r="U11" i="6"/>
  <c r="V11" i="6"/>
  <c r="W11" i="6"/>
  <c r="X11" i="6"/>
  <c r="Y11" i="6"/>
  <c r="Z11" i="6"/>
  <c r="AA11" i="6"/>
  <c r="U14" i="6"/>
  <c r="V14" i="6"/>
  <c r="W14" i="6"/>
  <c r="X14" i="6"/>
  <c r="Y14" i="6"/>
  <c r="Z14" i="6"/>
  <c r="AA14" i="6"/>
  <c r="U12" i="6"/>
  <c r="V12" i="6"/>
  <c r="W12" i="6"/>
  <c r="X12" i="6"/>
  <c r="Y12" i="6"/>
  <c r="Z12" i="6"/>
  <c r="AA12" i="6"/>
  <c r="U15" i="6"/>
  <c r="V15" i="6"/>
  <c r="W15" i="6"/>
  <c r="X15" i="6"/>
  <c r="Y15" i="6"/>
  <c r="Z15" i="6"/>
  <c r="AA15" i="6"/>
  <c r="V6" i="6"/>
  <c r="W6" i="6"/>
  <c r="X6" i="6"/>
  <c r="Y6" i="6"/>
  <c r="Z6" i="6"/>
  <c r="AA6" i="6"/>
  <c r="U22" i="6"/>
  <c r="P8" i="6" l="1"/>
  <c r="P20" i="6"/>
  <c r="Q8" i="6"/>
  <c r="Q20" i="6"/>
  <c r="P21" i="6"/>
  <c r="P10" i="6"/>
  <c r="P19" i="6"/>
  <c r="N21" i="6"/>
  <c r="R21" i="6" s="1"/>
  <c r="N19" i="6"/>
  <c r="R19" i="6" s="1"/>
  <c r="M16" i="6"/>
  <c r="P16" i="6" s="1"/>
  <c r="M20" i="6"/>
  <c r="N20" i="6" s="1"/>
  <c r="M10" i="6"/>
  <c r="N10" i="6" s="1"/>
  <c r="R10" i="6" s="1"/>
  <c r="M15" i="6"/>
  <c r="S15" i="6" s="1"/>
  <c r="M12" i="6"/>
  <c r="S12" i="6" s="1"/>
  <c r="M21" i="6"/>
  <c r="S21" i="6" s="1"/>
  <c r="M19" i="6"/>
  <c r="M11" i="6"/>
  <c r="N11" i="6" s="1"/>
  <c r="M13" i="6"/>
  <c r="N13" i="6" s="1"/>
  <c r="R13" i="6" s="1"/>
  <c r="M17" i="6"/>
  <c r="N17" i="6" s="1"/>
  <c r="R17" i="6" s="1"/>
  <c r="M9" i="6"/>
  <c r="S9" i="6" s="1"/>
  <c r="M8" i="6"/>
  <c r="N8" i="6" s="1"/>
  <c r="E6" i="6"/>
  <c r="M6" i="6" s="1"/>
  <c r="E7" i="6"/>
  <c r="P7" i="6" s="1"/>
  <c r="E14" i="6"/>
  <c r="Q14" i="6" s="1"/>
  <c r="E11" i="6"/>
  <c r="K11" i="6" s="1"/>
  <c r="K23" i="6" s="1"/>
  <c r="K29" i="6" s="1"/>
  <c r="E13" i="6"/>
  <c r="P13" i="6" s="1"/>
  <c r="E18" i="6"/>
  <c r="M18" i="6" s="1"/>
  <c r="G23" i="6"/>
  <c r="G29" i="6" s="1"/>
  <c r="I23" i="6"/>
  <c r="I29" i="6" s="1"/>
  <c r="J23" i="6"/>
  <c r="J29" i="6" s="1"/>
  <c r="L23" i="6"/>
  <c r="L29" i="6" s="1"/>
  <c r="E52" i="6"/>
  <c r="G51" i="6"/>
  <c r="G50" i="6"/>
  <c r="G49" i="6"/>
  <c r="F48" i="6"/>
  <c r="F52" i="6" s="1"/>
  <c r="E38" i="6"/>
  <c r="Q38" i="6" s="1"/>
  <c r="R38" i="6"/>
  <c r="R40" i="6" s="1"/>
  <c r="S38" i="6"/>
  <c r="S40" i="6" s="1"/>
  <c r="S43" i="6" s="1"/>
  <c r="E39" i="6"/>
  <c r="Q39" i="6" s="1"/>
  <c r="F40" i="6"/>
  <c r="G40" i="6"/>
  <c r="H40" i="6"/>
  <c r="I40" i="6"/>
  <c r="J40" i="6"/>
  <c r="K40" i="6"/>
  <c r="L40" i="6"/>
  <c r="M40" i="6"/>
  <c r="N40" i="6"/>
  <c r="P40" i="6"/>
  <c r="E44" i="6"/>
  <c r="Q22" i="6"/>
  <c r="R22" i="6"/>
  <c r="S22" i="6"/>
  <c r="N16" i="6" l="1"/>
  <c r="N18" i="6"/>
  <c r="R18" i="6" s="1"/>
  <c r="S18" i="6"/>
  <c r="S17" i="6"/>
  <c r="Q11" i="6"/>
  <c r="V13" i="6"/>
  <c r="U13" i="6"/>
  <c r="W13" i="6"/>
  <c r="X13" i="6"/>
  <c r="AA13" i="6"/>
  <c r="Y13" i="6"/>
  <c r="Z13" i="6"/>
  <c r="Q13" i="6"/>
  <c r="W7" i="6"/>
  <c r="U7" i="6"/>
  <c r="V7" i="6"/>
  <c r="Z7" i="6"/>
  <c r="X7" i="6"/>
  <c r="Y7" i="6"/>
  <c r="AA7" i="6"/>
  <c r="N6" i="6"/>
  <c r="R6" i="6" s="1"/>
  <c r="S6" i="6"/>
  <c r="U19" i="6"/>
  <c r="V19" i="6"/>
  <c r="Y19" i="6"/>
  <c r="W19" i="6"/>
  <c r="X19" i="6"/>
  <c r="Z19" i="6"/>
  <c r="AA19" i="6"/>
  <c r="Q10" i="6"/>
  <c r="X10" i="6"/>
  <c r="V10" i="6"/>
  <c r="W10" i="6"/>
  <c r="Y10" i="6"/>
  <c r="Z10" i="6"/>
  <c r="AA10" i="6"/>
  <c r="U10" i="6"/>
  <c r="Z16" i="6"/>
  <c r="W16" i="6"/>
  <c r="U16" i="6"/>
  <c r="V16" i="6"/>
  <c r="X16" i="6"/>
  <c r="Y16" i="6"/>
  <c r="AA16" i="6"/>
  <c r="N15" i="6"/>
  <c r="R15" i="6" s="1"/>
  <c r="Q16" i="6"/>
  <c r="M7" i="6"/>
  <c r="W21" i="6"/>
  <c r="Y21" i="6"/>
  <c r="Z21" i="6"/>
  <c r="X21" i="6"/>
  <c r="AA21" i="6"/>
  <c r="U21" i="6"/>
  <c r="V21" i="6"/>
  <c r="N12" i="6"/>
  <c r="R12" i="6" s="1"/>
  <c r="N9" i="6"/>
  <c r="R9" i="6" s="1"/>
  <c r="W20" i="6"/>
  <c r="X20" i="6"/>
  <c r="Y20" i="6"/>
  <c r="Z20" i="6"/>
  <c r="AA20" i="6"/>
  <c r="V20" i="6"/>
  <c r="U20" i="6"/>
  <c r="M14" i="6"/>
  <c r="V8" i="6"/>
  <c r="Z8" i="6"/>
  <c r="U8" i="6"/>
  <c r="W8" i="6"/>
  <c r="X8" i="6"/>
  <c r="Y8" i="6"/>
  <c r="AA8" i="6"/>
  <c r="S10" i="6"/>
  <c r="S19" i="6"/>
  <c r="S13" i="6"/>
  <c r="H23" i="6"/>
  <c r="H29" i="6" s="1"/>
  <c r="F23" i="6"/>
  <c r="F29" i="6" s="1"/>
  <c r="M29" i="6" s="1"/>
  <c r="G48" i="6"/>
  <c r="G52" i="6" s="1"/>
  <c r="Q40" i="6"/>
  <c r="L43" i="6"/>
  <c r="G43" i="6"/>
  <c r="G45" i="6" s="1"/>
  <c r="R44" i="6"/>
  <c r="R43" i="6"/>
  <c r="J43" i="6"/>
  <c r="J45" i="6" s="1"/>
  <c r="K43" i="6"/>
  <c r="K45" i="6" s="1"/>
  <c r="E40" i="6"/>
  <c r="S44" i="6"/>
  <c r="I43" i="6"/>
  <c r="I45" i="6" s="1"/>
  <c r="Q21" i="6"/>
  <c r="Q18" i="6"/>
  <c r="Q7" i="6"/>
  <c r="Q17" i="6"/>
  <c r="Q19" i="6"/>
  <c r="Q12" i="6"/>
  <c r="Q6" i="6"/>
  <c r="E23" i="6"/>
  <c r="E2" i="6" s="1"/>
  <c r="Q15" i="6"/>
  <c r="Q9" i="6"/>
  <c r="P23" i="6"/>
  <c r="P43" i="6" s="1"/>
  <c r="E30" i="2"/>
  <c r="J29" i="2"/>
  <c r="J30" i="2" s="1"/>
  <c r="I29" i="2"/>
  <c r="I30" i="2" s="1"/>
  <c r="H29" i="2"/>
  <c r="K30" i="2"/>
  <c r="H30" i="2"/>
  <c r="G30" i="2"/>
  <c r="F30" i="2"/>
  <c r="G29" i="2"/>
  <c r="F29" i="2"/>
  <c r="K28" i="2"/>
  <c r="J28" i="2"/>
  <c r="I28" i="2"/>
  <c r="H28" i="2"/>
  <c r="G28" i="2"/>
  <c r="F28" i="2"/>
  <c r="D24" i="2"/>
  <c r="D23" i="2"/>
  <c r="D22" i="2"/>
  <c r="D25" i="2"/>
  <c r="K29" i="2"/>
  <c r="P27" i="2"/>
  <c r="N27" i="2"/>
  <c r="N28" i="2" s="1"/>
  <c r="L27" i="2"/>
  <c r="K27" i="2"/>
  <c r="J27" i="2"/>
  <c r="I27" i="2"/>
  <c r="H27" i="2"/>
  <c r="G27" i="2"/>
  <c r="F27" i="2"/>
  <c r="S26" i="2"/>
  <c r="R26" i="2"/>
  <c r="S25" i="2"/>
  <c r="R25" i="2"/>
  <c r="E25" i="2"/>
  <c r="E27" i="2" s="1"/>
  <c r="S24" i="2"/>
  <c r="R24" i="2"/>
  <c r="Q24" i="2"/>
  <c r="E24" i="2"/>
  <c r="R23" i="2"/>
  <c r="E23" i="2"/>
  <c r="Q23" i="2" s="1"/>
  <c r="A23" i="2"/>
  <c r="A24" i="2" s="1"/>
  <c r="A25" i="2" s="1"/>
  <c r="R22" i="2"/>
  <c r="R27" i="2" s="1"/>
  <c r="E22" i="2"/>
  <c r="Q22" i="2" s="1"/>
  <c r="I13" i="3"/>
  <c r="H13" i="3"/>
  <c r="G13" i="3"/>
  <c r="J13" i="3"/>
  <c r="J11" i="3"/>
  <c r="K11" i="3"/>
  <c r="K13" i="3"/>
  <c r="P11" i="3"/>
  <c r="N11" i="3"/>
  <c r="L11" i="3"/>
  <c r="I11" i="3"/>
  <c r="H11" i="3"/>
  <c r="G11" i="3"/>
  <c r="F11" i="3"/>
  <c r="S10" i="3"/>
  <c r="R10" i="3"/>
  <c r="S9" i="3"/>
  <c r="R9" i="3"/>
  <c r="E9" i="3"/>
  <c r="Q9" i="3" s="1"/>
  <c r="S8" i="3"/>
  <c r="R8" i="3"/>
  <c r="E8" i="3"/>
  <c r="Q8" i="3" s="1"/>
  <c r="R7" i="3"/>
  <c r="E7" i="3"/>
  <c r="Q7" i="3" s="1"/>
  <c r="A7" i="3"/>
  <c r="A8" i="3" s="1"/>
  <c r="A9" i="3" s="1"/>
  <c r="R6" i="3"/>
  <c r="E6" i="3"/>
  <c r="M6" i="3" s="1"/>
  <c r="S6" i="3" s="1"/>
  <c r="F2" i="3"/>
  <c r="G1" i="3" s="1"/>
  <c r="G2" i="3" s="1"/>
  <c r="H1" i="3" s="1"/>
  <c r="H2" i="3" s="1"/>
  <c r="I1" i="3" s="1"/>
  <c r="I2" i="3" s="1"/>
  <c r="K1" i="3" s="1"/>
  <c r="K2" i="3" s="1"/>
  <c r="Y23" i="6" l="1"/>
  <c r="V23" i="6"/>
  <c r="AA23" i="6"/>
  <c r="Z23" i="6"/>
  <c r="X23" i="6"/>
  <c r="W23" i="6"/>
  <c r="S14" i="6"/>
  <c r="N14" i="6"/>
  <c r="N7" i="6"/>
  <c r="R7" i="6" s="1"/>
  <c r="S7" i="6"/>
  <c r="F43" i="6"/>
  <c r="F45" i="6" s="1"/>
  <c r="U23" i="6"/>
  <c r="H43" i="6"/>
  <c r="H45" i="6" s="1"/>
  <c r="O12" i="6"/>
  <c r="O18" i="6"/>
  <c r="O15" i="6"/>
  <c r="O7" i="6"/>
  <c r="O17" i="6"/>
  <c r="O13" i="6"/>
  <c r="O10" i="6"/>
  <c r="O6" i="6"/>
  <c r="O11" i="6"/>
  <c r="O19" i="6"/>
  <c r="O20" i="6"/>
  <c r="O14" i="6"/>
  <c r="O16" i="6"/>
  <c r="O8" i="6"/>
  <c r="O21" i="6"/>
  <c r="D16" i="6"/>
  <c r="D8" i="6"/>
  <c r="D11" i="6"/>
  <c r="D20" i="6"/>
  <c r="Q41" i="6"/>
  <c r="E54" i="6"/>
  <c r="F30" i="6" a="1"/>
  <c r="J41" i="6"/>
  <c r="K41" i="6"/>
  <c r="L41" i="6"/>
  <c r="O39" i="6"/>
  <c r="M41" i="6"/>
  <c r="N41" i="6"/>
  <c r="P41" i="6"/>
  <c r="F41" i="6"/>
  <c r="E43" i="6"/>
  <c r="E45" i="6" s="1"/>
  <c r="O38" i="6"/>
  <c r="G41" i="6"/>
  <c r="D38" i="6"/>
  <c r="D39" i="6"/>
  <c r="H41" i="6"/>
  <c r="I41" i="6"/>
  <c r="D21" i="6"/>
  <c r="D12" i="6"/>
  <c r="D10" i="6"/>
  <c r="D18" i="6"/>
  <c r="D7" i="6"/>
  <c r="D14" i="6"/>
  <c r="D13" i="6"/>
  <c r="O22" i="6"/>
  <c r="D17" i="6"/>
  <c r="D19" i="6"/>
  <c r="O9" i="6"/>
  <c r="D6" i="6"/>
  <c r="P24" i="6"/>
  <c r="D15" i="6"/>
  <c r="H24" i="6"/>
  <c r="D9" i="6"/>
  <c r="K24" i="6"/>
  <c r="F24" i="6"/>
  <c r="I24" i="6"/>
  <c r="G24" i="6"/>
  <c r="Q23" i="6"/>
  <c r="J24" i="6"/>
  <c r="L24" i="6"/>
  <c r="M23" i="6"/>
  <c r="M43" i="6" s="1"/>
  <c r="E29" i="2"/>
  <c r="P28" i="2"/>
  <c r="M22" i="2"/>
  <c r="M23" i="2"/>
  <c r="S23" i="2" s="1"/>
  <c r="Q25" i="2"/>
  <c r="Q27" i="2" s="1"/>
  <c r="Q28" i="2" s="1"/>
  <c r="K14" i="3"/>
  <c r="J14" i="3"/>
  <c r="I14" i="3"/>
  <c r="H14" i="3"/>
  <c r="G14" i="3"/>
  <c r="R11" i="3"/>
  <c r="M7" i="3"/>
  <c r="S7" i="3" s="1"/>
  <c r="S11" i="3" s="1"/>
  <c r="E11" i="3"/>
  <c r="Q6" i="3"/>
  <c r="S23" i="6" l="1"/>
  <c r="R14" i="6"/>
  <c r="R23" i="6" s="1"/>
  <c r="N23" i="6"/>
  <c r="F30" i="6"/>
  <c r="G31" i="6"/>
  <c r="J31" i="6"/>
  <c r="K31" i="6"/>
  <c r="H31" i="6"/>
  <c r="I31" i="6"/>
  <c r="L31" i="6"/>
  <c r="Q24" i="6"/>
  <c r="Q43" i="6"/>
  <c r="O40" i="6"/>
  <c r="O23" i="6"/>
  <c r="M24" i="6"/>
  <c r="M44" i="6" s="1"/>
  <c r="S22" i="2"/>
  <c r="S27" i="2" s="1"/>
  <c r="M27" i="2"/>
  <c r="M28" i="2" s="1"/>
  <c r="O8" i="3"/>
  <c r="D8" i="3"/>
  <c r="O6" i="3"/>
  <c r="Q11" i="3"/>
  <c r="Q12" i="3" s="1"/>
  <c r="F13" i="3"/>
  <c r="D10" i="3"/>
  <c r="P12" i="3"/>
  <c r="K12" i="3"/>
  <c r="L12" i="3"/>
  <c r="O7" i="3"/>
  <c r="H12" i="3"/>
  <c r="D6" i="3"/>
  <c r="N12" i="3"/>
  <c r="I12" i="3"/>
  <c r="D9" i="3"/>
  <c r="G12" i="3"/>
  <c r="D7" i="3"/>
  <c r="O9" i="3"/>
  <c r="F12" i="3"/>
  <c r="M11" i="3"/>
  <c r="M12" i="3" s="1"/>
  <c r="F31" i="6" l="1"/>
  <c r="M31" i="6" s="1"/>
  <c r="M30" i="6"/>
  <c r="N43" i="6"/>
  <c r="N24" i="6"/>
  <c r="N44" i="6" s="1"/>
  <c r="O41" i="6"/>
  <c r="O43" i="6"/>
  <c r="O24" i="6"/>
  <c r="O11" i="3"/>
  <c r="O12" i="3" s="1"/>
  <c r="F14" i="3"/>
  <c r="E13" i="3"/>
  <c r="E14" i="3" s="1"/>
  <c r="J16" i="2" l="1"/>
  <c r="I15" i="2"/>
  <c r="F15" i="2"/>
  <c r="E15" i="2" s="1"/>
  <c r="K15" i="2"/>
  <c r="E35" i="2" l="1"/>
  <c r="N13" i="2"/>
  <c r="L13" i="2"/>
  <c r="K13" i="2"/>
  <c r="K16" i="2" s="1"/>
  <c r="I13" i="2"/>
  <c r="I16" i="2" s="1"/>
  <c r="H13" i="2"/>
  <c r="H16" i="2" s="1"/>
  <c r="G13" i="2"/>
  <c r="G16" i="2" s="1"/>
  <c r="F13" i="2"/>
  <c r="F16" i="2" s="1"/>
  <c r="R12" i="2"/>
  <c r="E12" i="2"/>
  <c r="Q12" i="2" s="1"/>
  <c r="R11" i="2"/>
  <c r="E11" i="2"/>
  <c r="R10" i="2"/>
  <c r="E10" i="2"/>
  <c r="R9" i="2"/>
  <c r="E9" i="2"/>
  <c r="Q9" i="2" s="1"/>
  <c r="R8" i="2"/>
  <c r="E8" i="2"/>
  <c r="Q8" i="2" s="1"/>
  <c r="R7" i="2"/>
  <c r="E7" i="2"/>
  <c r="A7" i="2"/>
  <c r="A8" i="2" s="1"/>
  <c r="A9" i="2" s="1"/>
  <c r="A10" i="2" s="1"/>
  <c r="A11" i="2" s="1"/>
  <c r="A12" i="2" s="1"/>
  <c r="R6" i="2"/>
  <c r="E6" i="2"/>
  <c r="F2" i="2"/>
  <c r="G1" i="2" s="1"/>
  <c r="G2" i="2" s="1"/>
  <c r="H1" i="2" s="1"/>
  <c r="H2" i="2" s="1"/>
  <c r="I1" i="2" s="1"/>
  <c r="I2" i="2" s="1"/>
  <c r="K1" i="2" s="1"/>
  <c r="K2" i="2" s="1"/>
  <c r="O22" i="2" l="1"/>
  <c r="O23" i="2"/>
  <c r="O25" i="2"/>
  <c r="O24" i="2"/>
  <c r="L28" i="2"/>
  <c r="P13" i="2"/>
  <c r="Q7" i="2"/>
  <c r="M7" i="2"/>
  <c r="Q11" i="2"/>
  <c r="M11" i="2"/>
  <c r="S11" i="2" s="1"/>
  <c r="Q6" i="2"/>
  <c r="M6" i="2"/>
  <c r="Q10" i="2"/>
  <c r="M10" i="2"/>
  <c r="S10" i="2" s="1"/>
  <c r="R13" i="2"/>
  <c r="S7" i="2"/>
  <c r="S8" i="2"/>
  <c r="S9" i="2"/>
  <c r="S12" i="2"/>
  <c r="E13" i="2"/>
  <c r="I14" i="2" l="1"/>
  <c r="E16" i="2"/>
  <c r="O27" i="2"/>
  <c r="O28" i="2" s="1"/>
  <c r="Q13" i="2"/>
  <c r="D9" i="2"/>
  <c r="D8" i="2"/>
  <c r="D11" i="2"/>
  <c r="O12" i="2"/>
  <c r="D12" i="2"/>
  <c r="D7" i="2"/>
  <c r="O8" i="2"/>
  <c r="E37" i="2"/>
  <c r="L14" i="2"/>
  <c r="G14" i="2"/>
  <c r="P14" i="2"/>
  <c r="O11" i="2"/>
  <c r="O7" i="2"/>
  <c r="M13" i="2"/>
  <c r="M14" i="2" s="1"/>
  <c r="S6" i="2"/>
  <c r="S13" i="2" s="1"/>
  <c r="N14" i="2"/>
  <c r="D10" i="2"/>
  <c r="D6" i="2"/>
  <c r="O10" i="2"/>
  <c r="O6" i="2"/>
  <c r="K14" i="2"/>
  <c r="H14" i="2"/>
  <c r="O9" i="2"/>
  <c r="F14" i="2"/>
  <c r="Q14" i="2"/>
  <c r="O13" i="2" l="1"/>
  <c r="O14" i="2" s="1"/>
  <c r="A7" i="6"/>
  <c r="A9" i="6" l="1"/>
  <c r="A10" i="6" l="1"/>
  <c r="A11" i="6" l="1"/>
  <c r="A12" i="6" s="1"/>
  <c r="A13" i="6"/>
  <c r="A14" i="6" l="1"/>
  <c r="A15" i="6" s="1"/>
  <c r="A16" i="6" l="1"/>
  <c r="A17" i="6" s="1"/>
  <c r="A18" i="6" l="1"/>
  <c r="A19" i="6" s="1"/>
  <c r="A20" i="6" s="1"/>
  <c r="A2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Dinesh Bhati</author>
  </authors>
  <commentList>
    <comment ref="F38" authorId="0" shapeId="0" xr:uid="{9BDE70A6-4E38-4402-B056-0B95FADED5EC}">
      <text>
        <r>
          <rPr>
            <b/>
            <sz val="9"/>
            <color indexed="81"/>
            <rFont val="Tahoma"/>
            <family val="2"/>
          </rPr>
          <t>ageing not available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<sst xmlns="http://schemas.openxmlformats.org/spreadsheetml/2006/main" count="337" uniqueCount="133">
  <si>
    <t>Aging List for Receivables</t>
  </si>
  <si>
    <t xml:space="preserve">Sent at: </t>
  </si>
  <si>
    <t>02.12.2022 10:28:31 GMTUK</t>
  </si>
  <si>
    <t xml:space="preserve">Data Based on User: </t>
  </si>
  <si>
    <t>Cerris-Jane Schenk</t>
  </si>
  <si>
    <t xml:space="preserve">Access Context Code: </t>
  </si>
  <si>
    <t>* (No Restrictions)</t>
  </si>
  <si>
    <t>Selection:</t>
  </si>
  <si>
    <t>Company</t>
  </si>
  <si>
    <t>OEME (Oxford Economics Middle East DMCC)</t>
  </si>
  <si>
    <t>Cut Off Date</t>
  </si>
  <si>
    <t>31.07.2022</t>
  </si>
  <si>
    <t>1st Due Period in Days</t>
  </si>
  <si>
    <t>30</t>
  </si>
  <si>
    <t>2nd Due Period in Days</t>
  </si>
  <si>
    <t>60</t>
  </si>
  <si>
    <t>3rd Due Period in Days</t>
  </si>
  <si>
    <t>90</t>
  </si>
  <si>
    <t>4th Due Period in Days</t>
  </si>
  <si>
    <t>120</t>
  </si>
  <si>
    <t>Display Currency</t>
  </si>
  <si>
    <t>AED (UAE Dirham)</t>
  </si>
  <si>
    <t>Display Currency - Conversion Date</t>
  </si>
  <si>
    <t>Account ABC Classification (Business Partner)</t>
  </si>
  <si>
    <t>!(A (Intercompany))</t>
  </si>
  <si>
    <t>Information and Warnings:</t>
  </si>
  <si>
    <t>Display currency set using variable</t>
  </si>
  <si>
    <t>Currency conversion applied; rounding differences may occur</t>
  </si>
  <si>
    <t>Document Date</t>
  </si>
  <si>
    <t>Customer</t>
  </si>
  <si>
    <t>Customer Invoice ID</t>
  </si>
  <si>
    <t>Outstanding Amount</t>
  </si>
  <si>
    <t>1 - 30 days</t>
  </si>
  <si>
    <t>31 - 60 days</t>
  </si>
  <si>
    <t>61 - 90 days</t>
  </si>
  <si>
    <t>91 - 120 days</t>
  </si>
  <si>
    <t>&gt; 120 days</t>
  </si>
  <si>
    <t>08.12.2021</t>
  </si>
  <si>
    <t>Statistics Center Abu Dhabi (SCAD)</t>
  </si>
  <si>
    <t xml:space="preserve">Deposit payment </t>
  </si>
  <si>
    <t/>
  </si>
  <si>
    <t>21.12.2021</t>
  </si>
  <si>
    <t>22.12.2021</t>
  </si>
  <si>
    <t>05.01.2022</t>
  </si>
  <si>
    <t>Ministry of Industry and Advanced Techno</t>
  </si>
  <si>
    <t>MEIN-1507</t>
  </si>
  <si>
    <t>28.02.2022</t>
  </si>
  <si>
    <t>Dubai Department of Tourism &amp; Commerce M Marketing</t>
  </si>
  <si>
    <t>MEIN-1537</t>
  </si>
  <si>
    <t>22.04.2022</t>
  </si>
  <si>
    <t>Jones Lang LaSalle (UAE)</t>
  </si>
  <si>
    <t>MEIN-1559</t>
  </si>
  <si>
    <t>25.04.2022</t>
  </si>
  <si>
    <t>Arada Developments LLC</t>
  </si>
  <si>
    <t>MEIN-1560</t>
  </si>
  <si>
    <t>28.04.2022</t>
  </si>
  <si>
    <t>DP WORLD (UAE)</t>
  </si>
  <si>
    <t>MEIN-1562</t>
  </si>
  <si>
    <t>19.05.2022</t>
  </si>
  <si>
    <t>MEIN-1576</t>
  </si>
  <si>
    <t>01.07.2022</t>
  </si>
  <si>
    <t>Deloitte Real Estate - Dubai</t>
  </si>
  <si>
    <t>MEIN-1596</t>
  </si>
  <si>
    <t>Trade receivables - ageing report as of 31 July 2022</t>
  </si>
  <si>
    <t>Sr. No.</t>
  </si>
  <si>
    <t>Customers' name</t>
  </si>
  <si>
    <t>Location</t>
  </si>
  <si>
    <t>%</t>
  </si>
  <si>
    <t>TOTAL</t>
  </si>
  <si>
    <t>Age analysis</t>
  </si>
  <si>
    <t>Geographical</t>
  </si>
  <si>
    <t>Significant</t>
  </si>
  <si>
    <t>Subsequent  Recoveries</t>
  </si>
  <si>
    <t>Net O/S</t>
  </si>
  <si>
    <t>Overseas Recoveries</t>
  </si>
  <si>
    <t>Local Recoveries</t>
  </si>
  <si>
    <t>Remark</t>
  </si>
  <si>
    <t>0-30</t>
  </si>
  <si>
    <t>31-60</t>
  </si>
  <si>
    <t>61-90</t>
  </si>
  <si>
    <t>91-120</t>
  </si>
  <si>
    <t>121-180</t>
  </si>
  <si>
    <t>181-365</t>
  </si>
  <si>
    <t>&gt; 365</t>
  </si>
  <si>
    <t>Local</t>
  </si>
  <si>
    <t>Overseas</t>
  </si>
  <si>
    <t>Dp World (UAE)</t>
  </si>
  <si>
    <t>UAE</t>
  </si>
  <si>
    <t>Jones Lang Lasalle (UAE)</t>
  </si>
  <si>
    <t>25-Oct-22 &amp; 5-Dec-22</t>
  </si>
  <si>
    <t>Dubai Department Of Tourism &amp; Commerce M Marketing</t>
  </si>
  <si>
    <t>Ministry Of Industry And Advanced Techno</t>
  </si>
  <si>
    <t>Arada Developments Llc</t>
  </si>
  <si>
    <t>Total</t>
  </si>
  <si>
    <t>Recoveries</t>
  </si>
  <si>
    <t>Net</t>
  </si>
  <si>
    <t>Trade receivables (Inter-company)- ageing report as of 31 July 2022</t>
  </si>
  <si>
    <t>OEAU (Oxford Economics Australia Pty Ltd)</t>
  </si>
  <si>
    <t>OEHK (Oxford Economics Hong Kong Limited)</t>
  </si>
  <si>
    <t>OESG (OE Asia Pacific &amp; Middle East Pte.Ltd.)</t>
  </si>
  <si>
    <t>OEUS (Oxford Economics USA Inc.)</t>
  </si>
  <si>
    <t>Credit balances</t>
  </si>
  <si>
    <t>Net Receivable</t>
  </si>
  <si>
    <t>Client remark</t>
  </si>
  <si>
    <t>Artefact</t>
  </si>
  <si>
    <t>Atkins Realis UAE</t>
  </si>
  <si>
    <t>Dubai Holding Real Estate</t>
  </si>
  <si>
    <t>Majid Al Futtaim</t>
  </si>
  <si>
    <t>Oxford Economics Australia Pty Ltd, Australia</t>
  </si>
  <si>
    <t>Oxford Economics USA Inc., USA</t>
  </si>
  <si>
    <t>Oxford Economics Asia Pacific, Singapore</t>
  </si>
  <si>
    <t>Oxford Economics Hong Kong</t>
  </si>
  <si>
    <t>Due from related party (credit balance)</t>
  </si>
  <si>
    <t>Oxford Economics Limited, UK</t>
  </si>
  <si>
    <t>Outstanding</t>
  </si>
  <si>
    <t>Credit balance</t>
  </si>
  <si>
    <t>Debit balance</t>
  </si>
  <si>
    <t>Net balance</t>
  </si>
  <si>
    <t>Related parties</t>
  </si>
  <si>
    <t>Miral</t>
  </si>
  <si>
    <t>Knight Frank Middle East Limited</t>
  </si>
  <si>
    <t>Abu Dhabi Pension Fund</t>
  </si>
  <si>
    <t>Mubadala UAE</t>
  </si>
  <si>
    <t>LP Mechel Service Kazakhstan</t>
  </si>
  <si>
    <t>Wasl Properties</t>
  </si>
  <si>
    <t>ATRC</t>
  </si>
  <si>
    <t>Out look Energy Investments LLC</t>
  </si>
  <si>
    <t>Abu Dhabi Investment Council</t>
  </si>
  <si>
    <t>KSA</t>
  </si>
  <si>
    <t>Kazakhstan</t>
  </si>
  <si>
    <t>Trade receivables - ageing report as of 31 July 2025</t>
  </si>
  <si>
    <t>RP</t>
  </si>
  <si>
    <t>ABC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</si>
</sst>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 * #,##0.00_ ;_ * \-#,##0.00_ ;_ * &quot;-&quot;??_ ;_ @_ "/>
    <numFmt numFmtId="165" formatCode="#,##0.00\ &quot;AED&quot;"/>
    <numFmt numFmtId="166" formatCode="_(* #,##0_);_(* \(#,##0\);_(* &quot;-&quot;??_);_(@_)"/>
    <numFmt numFmtId="167" formatCode="_ * #,##0_ ;_ * \-#,##0_ ;_ * &quot;-&quot;??_ ;_ @_ "/>
    <numFmt numFmtId="168" formatCode="0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ECECE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CECECE"/>
      </top>
      <bottom style="thin">
        <color rgb="FFCECECE"/>
      </bottom>
      <diagonal/>
    </border>
    <border>
      <left style="hair">
        <color rgb="FFFFFFFF"/>
      </left>
      <right style="hair">
        <color rgb="FFFFFFFF"/>
      </right>
      <top style="hair">
        <color rgb="FFCECECE"/>
      </top>
      <bottom style="hair">
        <color rgb="FFCECECE"/>
      </bottom>
      <diagonal/>
    </border>
    <border>
      <left style="hair">
        <color rgb="FFFFFFFF"/>
      </left>
      <right style="thin">
        <color rgb="FFFFFFFF"/>
      </right>
      <top style="hair">
        <color rgb="FFCECECE"/>
      </top>
      <bottom style="hair">
        <color rgb="FFCECEC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7">
    <xf numFmtId="0" fontId="0" fillId="0" borderId="0" xfId="0"/>
    <xf numFmtId="0" fontId="19" fillId="33" borderId="10" xfId="0" applyFont="1" applyFill="1" applyBorder="1" applyAlignment="1">
      <alignment vertical="center" wrapText="1"/>
    </xf>
    <xf numFmtId="0" fontId="18" fillId="33" borderId="0" xfId="0" applyFont="1" applyFill="1"/>
    <xf numFmtId="0" fontId="18" fillId="33" borderId="0" xfId="0" applyFont="1" applyFill="1" applyAlignment="1">
      <alignment horizontal="left"/>
    </xf>
    <xf numFmtId="0" fontId="18" fillId="34" borderId="11" xfId="0" applyFont="1" applyFill="1" applyBorder="1" applyAlignment="1">
      <alignment vertical="center" wrapText="1"/>
    </xf>
    <xf numFmtId="0" fontId="20" fillId="34" borderId="11" xfId="0" applyFont="1" applyFill="1" applyBorder="1" applyAlignment="1">
      <alignment vertical="center" wrapText="1"/>
    </xf>
    <xf numFmtId="0" fontId="21" fillId="0" borderId="0" xfId="0" applyFont="1" applyAlignment="1">
      <alignment horizontal="left" vertical="center"/>
    </xf>
    <xf numFmtId="49" fontId="21" fillId="0" borderId="15" xfId="0" applyNumberFormat="1" applyFont="1" applyBorder="1" applyAlignment="1">
      <alignment horizontal="center" vertical="center"/>
    </xf>
    <xf numFmtId="49" fontId="21" fillId="0" borderId="16" xfId="0" applyNumberFormat="1" applyFont="1" applyBorder="1" applyAlignment="1">
      <alignment horizontal="center" vertical="center"/>
    </xf>
    <xf numFmtId="49" fontId="21" fillId="0" borderId="17" xfId="0" applyNumberFormat="1" applyFont="1" applyBorder="1" applyAlignment="1">
      <alignment horizontal="center" vertical="center"/>
    </xf>
    <xf numFmtId="49" fontId="21" fillId="0" borderId="19" xfId="0" applyNumberFormat="1" applyFont="1" applyBorder="1" applyAlignment="1">
      <alignment horizontal="center" vertical="center"/>
    </xf>
    <xf numFmtId="49" fontId="22" fillId="0" borderId="14" xfId="0" applyNumberFormat="1" applyFont="1" applyBorder="1" applyAlignment="1">
      <alignment horizontal="left" vertical="center" wrapText="1"/>
    </xf>
    <xf numFmtId="166" fontId="22" fillId="0" borderId="14" xfId="42" applyNumberFormat="1" applyFont="1" applyBorder="1" applyAlignment="1">
      <alignment horizontal="right" vertical="center"/>
    </xf>
    <xf numFmtId="166" fontId="22" fillId="0" borderId="20" xfId="42" applyNumberFormat="1" applyFont="1" applyBorder="1" applyAlignment="1">
      <alignment horizontal="right" vertical="center"/>
    </xf>
    <xf numFmtId="166" fontId="22" fillId="0" borderId="21" xfId="42" applyNumberFormat="1" applyFont="1" applyBorder="1" applyAlignment="1">
      <alignment horizontal="right" vertical="center"/>
    </xf>
    <xf numFmtId="166" fontId="22" fillId="0" borderId="21" xfId="42" applyNumberFormat="1" applyFont="1" applyFill="1" applyBorder="1" applyAlignment="1">
      <alignment horizontal="right" vertical="center"/>
    </xf>
    <xf numFmtId="166" fontId="22" fillId="0" borderId="22" xfId="42" applyNumberFormat="1" applyFont="1" applyFill="1" applyBorder="1" applyAlignment="1">
      <alignment horizontal="right" vertical="center"/>
    </xf>
    <xf numFmtId="166" fontId="22" fillId="0" borderId="0" xfId="42" applyNumberFormat="1" applyFont="1" applyBorder="1" applyAlignment="1">
      <alignment horizontal="right" vertical="center"/>
    </xf>
    <xf numFmtId="166" fontId="0" fillId="0" borderId="14" xfId="0" applyNumberFormat="1" applyBorder="1" applyAlignment="1">
      <alignment horizontal="right" vertical="center"/>
    </xf>
    <xf numFmtId="49" fontId="22" fillId="0" borderId="23" xfId="0" applyNumberFormat="1" applyFont="1" applyBorder="1" applyAlignment="1">
      <alignment horizontal="left" vertical="center" wrapText="1"/>
    </xf>
    <xf numFmtId="166" fontId="22" fillId="0" borderId="23" xfId="42" applyNumberFormat="1" applyFont="1" applyBorder="1" applyAlignment="1">
      <alignment horizontal="right" vertical="center"/>
    </xf>
    <xf numFmtId="166" fontId="22" fillId="0" borderId="24" xfId="42" applyNumberFormat="1" applyFont="1" applyBorder="1" applyAlignment="1">
      <alignment horizontal="right" vertical="center"/>
    </xf>
    <xf numFmtId="166" fontId="22" fillId="0" borderId="0" xfId="42" applyNumberFormat="1" applyFont="1" applyFill="1" applyBorder="1" applyAlignment="1">
      <alignment horizontal="right" vertical="center"/>
    </xf>
    <xf numFmtId="166" fontId="22" fillId="0" borderId="25" xfId="42" applyNumberFormat="1" applyFont="1" applyFill="1" applyBorder="1" applyAlignment="1">
      <alignment horizontal="right" vertical="center"/>
    </xf>
    <xf numFmtId="166" fontId="0" fillId="0" borderId="23" xfId="0" applyNumberFormat="1" applyBorder="1" applyAlignment="1">
      <alignment horizontal="right" vertical="center"/>
    </xf>
    <xf numFmtId="49" fontId="21" fillId="0" borderId="19" xfId="0" applyNumberFormat="1" applyFont="1" applyBorder="1" applyAlignment="1">
      <alignment horizontal="left" vertical="center"/>
    </xf>
    <xf numFmtId="166" fontId="21" fillId="0" borderId="19" xfId="42" applyNumberFormat="1" applyFont="1" applyBorder="1" applyAlignment="1">
      <alignment horizontal="right" vertical="center"/>
    </xf>
    <xf numFmtId="166" fontId="21" fillId="0" borderId="15" xfId="42" applyNumberFormat="1" applyFont="1" applyBorder="1" applyAlignment="1">
      <alignment horizontal="right" vertical="center"/>
    </xf>
    <xf numFmtId="166" fontId="21" fillId="0" borderId="16" xfId="42" applyNumberFormat="1" applyFont="1" applyBorder="1" applyAlignment="1">
      <alignment horizontal="right" vertical="center"/>
    </xf>
    <xf numFmtId="166" fontId="21" fillId="0" borderId="17" xfId="42" applyNumberFormat="1" applyFont="1" applyBorder="1" applyAlignment="1">
      <alignment horizontal="right" vertical="center"/>
    </xf>
    <xf numFmtId="0" fontId="21" fillId="0" borderId="19" xfId="0" applyFont="1" applyBorder="1" applyAlignment="1">
      <alignment horizontal="left" vertical="center"/>
    </xf>
    <xf numFmtId="0" fontId="0" fillId="0" borderId="19" xfId="0" applyBorder="1" applyAlignment="1">
      <alignment horizontal="right" vertical="center"/>
    </xf>
    <xf numFmtId="9" fontId="16" fillId="0" borderId="15" xfId="43" applyFont="1" applyBorder="1" applyAlignment="1">
      <alignment horizontal="right" vertical="center"/>
    </xf>
    <xf numFmtId="9" fontId="16" fillId="0" borderId="16" xfId="43" applyFont="1" applyBorder="1" applyAlignment="1">
      <alignment horizontal="right" vertical="center"/>
    </xf>
    <xf numFmtId="9" fontId="16" fillId="0" borderId="17" xfId="43" applyFont="1" applyBorder="1" applyAlignment="1">
      <alignment horizontal="right" vertical="center"/>
    </xf>
    <xf numFmtId="9" fontId="16" fillId="0" borderId="19" xfId="43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9" fontId="16" fillId="0" borderId="0" xfId="43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21" fillId="0" borderId="0" xfId="0" applyFont="1" applyAlignment="1">
      <alignment horizontal="right" vertical="center"/>
    </xf>
    <xf numFmtId="166" fontId="21" fillId="0" borderId="0" xfId="0" applyNumberFormat="1" applyFont="1" applyAlignment="1">
      <alignment horizontal="right" vertical="center"/>
    </xf>
    <xf numFmtId="49" fontId="22" fillId="0" borderId="0" xfId="0" applyNumberFormat="1" applyFont="1" applyAlignment="1">
      <alignment horizontal="center" vertical="center"/>
    </xf>
    <xf numFmtId="167" fontId="21" fillId="0" borderId="19" xfId="42" applyNumberFormat="1" applyFont="1" applyBorder="1" applyAlignment="1">
      <alignment horizontal="right" vertical="center"/>
    </xf>
    <xf numFmtId="9" fontId="21" fillId="0" borderId="19" xfId="43" applyFont="1" applyBorder="1" applyAlignment="1">
      <alignment horizontal="right" vertical="center"/>
    </xf>
    <xf numFmtId="9" fontId="22" fillId="0" borderId="14" xfId="43" applyFont="1" applyBorder="1" applyAlignment="1">
      <alignment horizontal="right" vertical="center"/>
    </xf>
    <xf numFmtId="9" fontId="22" fillId="0" borderId="23" xfId="43" applyFont="1" applyBorder="1" applyAlignment="1">
      <alignment horizontal="right" vertical="center"/>
    </xf>
    <xf numFmtId="49" fontId="21" fillId="0" borderId="19" xfId="0" applyNumberFormat="1" applyFont="1" applyBorder="1" applyAlignment="1">
      <alignment horizontal="right" vertical="center"/>
    </xf>
    <xf numFmtId="0" fontId="21" fillId="0" borderId="19" xfId="0" applyFont="1" applyBorder="1" applyAlignment="1">
      <alignment horizontal="right" vertical="center"/>
    </xf>
    <xf numFmtId="15" fontId="0" fillId="0" borderId="14" xfId="0" applyNumberFormat="1" applyBorder="1" applyAlignment="1">
      <alignment horizontal="left" vertical="center"/>
    </xf>
    <xf numFmtId="15" fontId="0" fillId="0" borderId="23" xfId="0" applyNumberFormat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6" fillId="0" borderId="19" xfId="0" applyFont="1" applyBorder="1" applyAlignment="1">
      <alignment horizontal="left" vertical="center"/>
    </xf>
    <xf numFmtId="166" fontId="21" fillId="0" borderId="16" xfId="42" applyNumberFormat="1" applyFont="1" applyFill="1" applyBorder="1" applyAlignment="1">
      <alignment horizontal="right" vertical="center"/>
    </xf>
    <xf numFmtId="9" fontId="16" fillId="0" borderId="16" xfId="43" applyFont="1" applyFill="1" applyBorder="1" applyAlignment="1">
      <alignment horizontal="right" vertical="center"/>
    </xf>
    <xf numFmtId="9" fontId="16" fillId="0" borderId="0" xfId="43" applyFont="1" applyFill="1" applyBorder="1" applyAlignment="1">
      <alignment horizontal="right" vertical="center"/>
    </xf>
    <xf numFmtId="0" fontId="21" fillId="0" borderId="0" xfId="0" applyFont="1" applyAlignment="1">
      <alignment vertical="center"/>
    </xf>
    <xf numFmtId="0" fontId="0" fillId="0" borderId="0" xfId="0" applyAlignment="1">
      <alignment vertical="center"/>
    </xf>
    <xf numFmtId="14" fontId="17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166" fontId="0" fillId="0" borderId="14" xfId="42" applyNumberFormat="1" applyFont="1" applyBorder="1" applyAlignment="1">
      <alignment vertical="center"/>
    </xf>
    <xf numFmtId="166" fontId="0" fillId="0" borderId="23" xfId="42" applyNumberFormat="1" applyFont="1" applyBorder="1" applyAlignment="1">
      <alignment vertical="center"/>
    </xf>
    <xf numFmtId="49" fontId="21" fillId="0" borderId="19" xfId="0" applyNumberFormat="1" applyFont="1" applyBorder="1" applyAlignment="1">
      <alignment vertical="center"/>
    </xf>
    <xf numFmtId="166" fontId="21" fillId="0" borderId="19" xfId="42" applyNumberFormat="1" applyFont="1" applyBorder="1" applyAlignment="1">
      <alignment vertical="center"/>
    </xf>
    <xf numFmtId="0" fontId="16" fillId="0" borderId="0" xfId="0" applyFont="1" applyAlignment="1">
      <alignment vertical="center"/>
    </xf>
    <xf numFmtId="0" fontId="0" fillId="0" borderId="19" xfId="0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21" fillId="0" borderId="0" xfId="0" applyFont="1" applyAlignment="1">
      <alignment horizontal="center" vertical="center"/>
    </xf>
    <xf numFmtId="9" fontId="22" fillId="0" borderId="14" xfId="43" applyFont="1" applyBorder="1" applyAlignment="1">
      <alignment horizontal="center" vertical="center"/>
    </xf>
    <xf numFmtId="167" fontId="22" fillId="0" borderId="14" xfId="42" applyNumberFormat="1" applyFont="1" applyBorder="1" applyAlignment="1">
      <alignment horizontal="center" vertical="center"/>
    </xf>
    <xf numFmtId="43" fontId="21" fillId="0" borderId="0" xfId="0" applyNumberFormat="1" applyFont="1" applyAlignment="1">
      <alignment vertical="center"/>
    </xf>
    <xf numFmtId="166" fontId="0" fillId="0" borderId="0" xfId="42" applyNumberFormat="1" applyFont="1" applyBorder="1" applyAlignment="1">
      <alignment vertical="center"/>
    </xf>
    <xf numFmtId="9" fontId="16" fillId="0" borderId="0" xfId="43" applyFont="1" applyBorder="1" applyAlignment="1">
      <alignment vertical="center"/>
    </xf>
    <xf numFmtId="9" fontId="16" fillId="0" borderId="0" xfId="43" applyFont="1" applyFill="1" applyBorder="1" applyAlignment="1">
      <alignment vertical="center"/>
    </xf>
    <xf numFmtId="166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15" fontId="0" fillId="0" borderId="23" xfId="0" quotePrefix="1" applyNumberFormat="1" applyBorder="1" applyAlignment="1">
      <alignment horizontal="left" vertical="center" wrapText="1"/>
    </xf>
    <xf numFmtId="166" fontId="0" fillId="35" borderId="23" xfId="0" applyNumberFormat="1" applyFill="1" applyBorder="1" applyAlignment="1">
      <alignment horizontal="right" vertical="center"/>
    </xf>
    <xf numFmtId="166" fontId="16" fillId="0" borderId="0" xfId="0" applyNumberFormat="1" applyFont="1" applyAlignment="1">
      <alignment horizontal="right" vertical="center"/>
    </xf>
    <xf numFmtId="166" fontId="1" fillId="0" borderId="0" xfId="43" applyNumberFormat="1" applyFont="1" applyBorder="1" applyAlignment="1">
      <alignment horizontal="right" vertical="center"/>
    </xf>
    <xf numFmtId="9" fontId="1" fillId="0" borderId="0" xfId="43" applyFont="1" applyBorder="1" applyAlignment="1">
      <alignment horizontal="right" vertical="center"/>
    </xf>
    <xf numFmtId="9" fontId="1" fillId="0" borderId="0" xfId="43" applyFont="1" applyFill="1" applyBorder="1" applyAlignment="1">
      <alignment horizontal="right" vertical="center"/>
    </xf>
    <xf numFmtId="166" fontId="1" fillId="0" borderId="0" xfId="43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165" fontId="18" fillId="0" borderId="12" xfId="0" applyNumberFormat="1" applyFont="1" applyBorder="1" applyAlignment="1">
      <alignment horizontal="right" vertical="center" wrapText="1"/>
    </xf>
    <xf numFmtId="3" fontId="18" fillId="0" borderId="12" xfId="0" applyNumberFormat="1" applyFont="1" applyBorder="1" applyAlignment="1">
      <alignment horizontal="right" vertical="center" wrapText="1"/>
    </xf>
    <xf numFmtId="165" fontId="18" fillId="0" borderId="13" xfId="0" applyNumberFormat="1" applyFont="1" applyBorder="1" applyAlignment="1">
      <alignment horizontal="right" vertical="center" wrapText="1"/>
    </xf>
    <xf numFmtId="3" fontId="18" fillId="0" borderId="13" xfId="0" applyNumberFormat="1" applyFont="1" applyBorder="1" applyAlignment="1">
      <alignment horizontal="right" vertical="center" wrapText="1"/>
    </xf>
    <xf numFmtId="15" fontId="0" fillId="0" borderId="14" xfId="0" applyNumberFormat="1" applyBorder="1" applyAlignment="1">
      <alignment horizontal="left" vertical="center" wrapText="1"/>
    </xf>
    <xf numFmtId="15" fontId="0" fillId="0" borderId="23" xfId="0" applyNumberFormat="1" applyBorder="1" applyAlignment="1">
      <alignment horizontal="left" vertical="center" wrapText="1"/>
    </xf>
    <xf numFmtId="2" fontId="21" fillId="0" borderId="19" xfId="0" applyNumberFormat="1" applyFont="1" applyBorder="1" applyAlignment="1">
      <alignment horizontal="right" vertical="center"/>
    </xf>
    <xf numFmtId="166" fontId="22" fillId="0" borderId="22" xfId="42" applyNumberFormat="1" applyFont="1" applyBorder="1" applyAlignment="1">
      <alignment horizontal="right" vertical="center"/>
    </xf>
    <xf numFmtId="166" fontId="22" fillId="0" borderId="25" xfId="42" applyNumberFormat="1" applyFont="1" applyBorder="1" applyAlignment="1">
      <alignment horizontal="right" vertical="center"/>
    </xf>
    <xf numFmtId="2" fontId="21" fillId="0" borderId="18" xfId="0" applyNumberFormat="1" applyFont="1" applyBorder="1" applyAlignment="1">
      <alignment horizontal="right" vertical="center"/>
    </xf>
    <xf numFmtId="9" fontId="22" fillId="0" borderId="18" xfId="43" applyFont="1" applyBorder="1" applyAlignment="1">
      <alignment horizontal="right" vertical="center"/>
    </xf>
    <xf numFmtId="166" fontId="0" fillId="0" borderId="0" xfId="0" applyNumberFormat="1"/>
    <xf numFmtId="167" fontId="0" fillId="0" borderId="0" xfId="42" applyNumberFormat="1" applyFont="1"/>
    <xf numFmtId="166" fontId="16" fillId="0" borderId="0" xfId="0" applyNumberFormat="1" applyFont="1" applyAlignment="1">
      <alignment vertical="center"/>
    </xf>
    <xf numFmtId="0" fontId="24" fillId="0" borderId="19" xfId="0" applyFont="1" applyBorder="1" applyAlignment="1">
      <alignment horizontal="left" vertical="center"/>
    </xf>
    <xf numFmtId="49" fontId="25" fillId="0" borderId="19" xfId="0" applyNumberFormat="1" applyFont="1" applyBorder="1" applyAlignment="1">
      <alignment horizontal="left" vertical="center"/>
    </xf>
    <xf numFmtId="2" fontId="25" fillId="0" borderId="18" xfId="0" applyNumberFormat="1" applyFont="1" applyBorder="1" applyAlignment="1">
      <alignment horizontal="right" vertical="center"/>
    </xf>
    <xf numFmtId="166" fontId="25" fillId="0" borderId="19" xfId="42" applyNumberFormat="1" applyFont="1" applyBorder="1" applyAlignment="1">
      <alignment horizontal="right" vertical="center"/>
    </xf>
    <xf numFmtId="166" fontId="25" fillId="0" borderId="16" xfId="42" applyNumberFormat="1" applyFont="1" applyBorder="1" applyAlignment="1">
      <alignment horizontal="right" vertical="center"/>
    </xf>
    <xf numFmtId="166" fontId="25" fillId="0" borderId="17" xfId="42" applyNumberFormat="1" applyFont="1" applyBorder="1" applyAlignment="1">
      <alignment horizontal="right" vertical="center"/>
    </xf>
    <xf numFmtId="166" fontId="25" fillId="0" borderId="19" xfId="42" applyNumberFormat="1" applyFont="1" applyBorder="1" applyAlignment="1">
      <alignment vertical="center"/>
    </xf>
    <xf numFmtId="0" fontId="24" fillId="0" borderId="0" xfId="0" applyFont="1" applyAlignment="1">
      <alignment vertical="center"/>
    </xf>
    <xf numFmtId="15" fontId="0" fillId="0" borderId="14" xfId="0" quotePrefix="1" applyNumberFormat="1" applyBorder="1" applyAlignment="1">
      <alignment horizontal="left" vertical="center" wrapText="1"/>
    </xf>
    <xf numFmtId="0" fontId="21" fillId="35" borderId="0" xfId="0" applyFont="1" applyFill="1" applyAlignment="1">
      <alignment horizontal="left" vertical="center"/>
    </xf>
    <xf numFmtId="0" fontId="21" fillId="35" borderId="0" xfId="0" applyFont="1" applyFill="1" applyAlignment="1">
      <alignment vertical="center"/>
    </xf>
    <xf numFmtId="166" fontId="22" fillId="35" borderId="20" xfId="42" applyNumberFormat="1" applyFont="1" applyFill="1" applyBorder="1" applyAlignment="1">
      <alignment horizontal="right" vertical="center"/>
    </xf>
    <xf numFmtId="0" fontId="22" fillId="0" borderId="0" xfId="0" applyFont="1" applyAlignment="1">
      <alignment vertical="center"/>
    </xf>
    <xf numFmtId="166" fontId="16" fillId="0" borderId="0" xfId="0" applyNumberFormat="1" applyFont="1"/>
    <xf numFmtId="166" fontId="22" fillId="35" borderId="24" xfId="42" applyNumberFormat="1" applyFont="1" applyFill="1" applyBorder="1" applyAlignment="1">
      <alignment horizontal="right" vertical="center"/>
    </xf>
    <xf numFmtId="166" fontId="16" fillId="0" borderId="0" xfId="0" applyNumberFormat="1" applyFont="1" applyAlignment="1">
      <alignment horizontal="center" vertical="center" wrapText="1"/>
    </xf>
    <xf numFmtId="168" fontId="16" fillId="0" borderId="0" xfId="43" applyNumberFormat="1" applyFont="1" applyBorder="1" applyAlignment="1">
      <alignment horizontal="right" vertical="center"/>
    </xf>
    <xf numFmtId="49" fontId="21" fillId="0" borderId="14" xfId="0" applyNumberFormat="1" applyFont="1" applyBorder="1" applyAlignment="1">
      <alignment horizontal="center" vertical="center" wrapText="1"/>
    </xf>
    <xf numFmtId="49" fontId="21" fillId="0" borderId="18" xfId="0" applyNumberFormat="1" applyFont="1" applyBorder="1" applyAlignment="1">
      <alignment horizontal="center" vertical="center" wrapText="1"/>
    </xf>
    <xf numFmtId="49" fontId="21" fillId="0" borderId="18" xfId="0" applyNumberFormat="1" applyFont="1" applyBorder="1" applyAlignment="1">
      <alignment vertical="center"/>
    </xf>
    <xf numFmtId="49" fontId="25" fillId="0" borderId="18" xfId="0" applyNumberFormat="1" applyFont="1" applyBorder="1" applyAlignment="1">
      <alignment vertical="center"/>
    </xf>
    <xf numFmtId="166" fontId="0" fillId="0" borderId="20" xfId="0" applyNumberFormat="1" applyBorder="1" applyAlignment="1">
      <alignment horizontal="right" vertical="center"/>
    </xf>
    <xf numFmtId="166" fontId="0" fillId="0" borderId="21" xfId="0" applyNumberFormat="1" applyBorder="1" applyAlignment="1">
      <alignment horizontal="right" vertical="center"/>
    </xf>
    <xf numFmtId="166" fontId="0" fillId="0" borderId="26" xfId="0" applyNumberFormat="1" applyBorder="1" applyAlignment="1">
      <alignment horizontal="right" vertical="center"/>
    </xf>
    <xf numFmtId="166" fontId="0" fillId="0" borderId="27" xfId="0" applyNumberFormat="1" applyBorder="1" applyAlignment="1">
      <alignment horizontal="right" vertical="center"/>
    </xf>
    <xf numFmtId="166" fontId="16" fillId="0" borderId="14" xfId="43" applyNumberFormat="1" applyFont="1" applyBorder="1" applyAlignment="1">
      <alignment horizontal="right" vertical="center"/>
    </xf>
    <xf numFmtId="166" fontId="16" fillId="0" borderId="18" xfId="43" applyNumberFormat="1" applyFont="1" applyBorder="1" applyAlignment="1">
      <alignment horizontal="right" vertical="center"/>
    </xf>
    <xf numFmtId="166" fontId="16" fillId="0" borderId="15" xfId="0" applyNumberFormat="1" applyFont="1" applyBorder="1" applyAlignment="1">
      <alignment horizontal="right" vertical="center"/>
    </xf>
    <xf numFmtId="166" fontId="16" fillId="0" borderId="16" xfId="0" applyNumberFormat="1" applyFont="1" applyBorder="1" applyAlignment="1">
      <alignment horizontal="right" vertical="center"/>
    </xf>
    <xf numFmtId="166" fontId="16" fillId="0" borderId="19" xfId="43" applyNumberFormat="1" applyFont="1" applyBorder="1" applyAlignment="1">
      <alignment horizontal="right" vertical="center"/>
    </xf>
    <xf numFmtId="166" fontId="22" fillId="0" borderId="24" xfId="42" applyNumberFormat="1" applyFont="1" applyFill="1" applyBorder="1" applyAlignment="1">
      <alignment horizontal="right" vertical="center"/>
    </xf>
    <xf numFmtId="9" fontId="0" fillId="0" borderId="0" xfId="43" applyFont="1" applyAlignment="1">
      <alignment vertical="center"/>
    </xf>
    <xf numFmtId="0" fontId="19" fillId="33" borderId="10" xfId="0" applyFont="1" applyFill="1" applyBorder="1" applyAlignment="1">
      <alignment vertical="center" wrapText="1"/>
    </xf>
    <xf numFmtId="0" fontId="16" fillId="0" borderId="14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49" fontId="21" fillId="0" borderId="14" xfId="0" applyNumberFormat="1" applyFont="1" applyBorder="1" applyAlignment="1">
      <alignment horizontal="center" vertical="center"/>
    </xf>
    <xf numFmtId="49" fontId="21" fillId="0" borderId="18" xfId="0" applyNumberFormat="1" applyFont="1" applyBorder="1" applyAlignment="1">
      <alignment horizontal="center" vertical="center"/>
    </xf>
    <xf numFmtId="49" fontId="21" fillId="0" borderId="14" xfId="0" applyNumberFormat="1" applyFont="1" applyBorder="1" applyAlignment="1">
      <alignment horizontal="center" vertical="center" wrapText="1"/>
    </xf>
    <xf numFmtId="49" fontId="21" fillId="0" borderId="18" xfId="0" applyNumberFormat="1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49" fontId="21" fillId="35" borderId="14" xfId="0" applyNumberFormat="1" applyFont="1" applyFill="1" applyBorder="1" applyAlignment="1">
      <alignment horizontal="center" vertical="center" wrapText="1"/>
    </xf>
    <xf numFmtId="49" fontId="21" fillId="35" borderId="18" xfId="0" applyNumberFormat="1" applyFont="1" applyFill="1" applyBorder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zoomScale="70" zoomScaleNormal="70" workbookViewId="0">
      <selection activeCell="A2" sqref="A2:XFD14"/>
    </sheetView>
  </sheetViews>
  <sheetFormatPr defaultColWidth="0" defaultRowHeight="24.6" x14ac:dyDescent="0.25"/>
  <cols>
    <col min="1" max="1" width="2.88671875" style="2" bestFit="1" customWidth="1"/>
    <col min="2" max="4" width="28.5546875" style="2" bestFit="1" customWidth="1"/>
    <col min="5" max="5" width="25" style="2" bestFit="1" customWidth="1"/>
    <col min="6" max="6" width="13" style="2" bestFit="1" customWidth="1"/>
    <col min="7" max="7" width="17" style="2" bestFit="1" customWidth="1"/>
    <col min="8" max="8" width="19" style="2" bestFit="1" customWidth="1"/>
    <col min="9" max="9" width="15.5546875" style="2" bestFit="1" customWidth="1"/>
    <col min="10" max="10" width="19.6640625" style="2" bestFit="1" customWidth="1"/>
    <col min="11" max="11" width="2.88671875" style="2" bestFit="1" customWidth="1"/>
    <col min="12" max="16384" width="0" style="1" hidden="1"/>
  </cols>
  <sheetData>
    <row r="1" spans="2:10" ht="80.099999999999994" customHeight="1" x14ac:dyDescent="0.25">
      <c r="B1" s="133" t="s">
        <v>0</v>
      </c>
      <c r="C1" s="133"/>
      <c r="D1" s="133"/>
      <c r="E1" s="133"/>
      <c r="F1" s="133"/>
      <c r="G1" s="133"/>
      <c r="H1" s="133"/>
      <c r="I1" s="133"/>
      <c r="J1" s="133"/>
    </row>
    <row r="3" spans="2:10" s="3" customFormat="1" ht="15" x14ac:dyDescent="0.25">
      <c r="B3" s="3" t="s">
        <v>1</v>
      </c>
      <c r="C3" s="3" t="s">
        <v>2</v>
      </c>
    </row>
    <row r="4" spans="2:10" s="2" customFormat="1" ht="15" x14ac:dyDescent="0.25">
      <c r="B4" s="2" t="s">
        <v>3</v>
      </c>
      <c r="C4" s="2" t="s">
        <v>4</v>
      </c>
    </row>
    <row r="5" spans="2:10" s="2" customFormat="1" ht="15" x14ac:dyDescent="0.25">
      <c r="B5" s="2" t="s">
        <v>5</v>
      </c>
      <c r="C5" s="2" t="s">
        <v>6</v>
      </c>
    </row>
    <row r="7" spans="2:10" s="3" customFormat="1" ht="15" x14ac:dyDescent="0.25">
      <c r="B7" s="3" t="s">
        <v>7</v>
      </c>
    </row>
    <row r="8" spans="2:10" s="2" customFormat="1" ht="15" x14ac:dyDescent="0.25">
      <c r="B8" s="2" t="s">
        <v>8</v>
      </c>
      <c r="C8" s="2" t="s">
        <v>9</v>
      </c>
    </row>
    <row r="9" spans="2:10" s="2" customFormat="1" ht="15" x14ac:dyDescent="0.25">
      <c r="B9" s="2" t="s">
        <v>10</v>
      </c>
      <c r="C9" s="2" t="s">
        <v>11</v>
      </c>
    </row>
    <row r="10" spans="2:10" s="2" customFormat="1" ht="15" x14ac:dyDescent="0.25">
      <c r="B10" s="2" t="s">
        <v>12</v>
      </c>
      <c r="C10" s="2" t="s">
        <v>13</v>
      </c>
    </row>
    <row r="11" spans="2:10" s="2" customFormat="1" ht="15" x14ac:dyDescent="0.25">
      <c r="B11" s="2" t="s">
        <v>14</v>
      </c>
      <c r="C11" s="2" t="s">
        <v>15</v>
      </c>
    </row>
    <row r="12" spans="2:10" s="2" customFormat="1" ht="15" x14ac:dyDescent="0.25">
      <c r="B12" s="2" t="s">
        <v>16</v>
      </c>
      <c r="C12" s="2" t="s">
        <v>17</v>
      </c>
    </row>
    <row r="13" spans="2:10" s="2" customFormat="1" ht="15" x14ac:dyDescent="0.25">
      <c r="B13" s="2" t="s">
        <v>18</v>
      </c>
      <c r="C13" s="2" t="s">
        <v>19</v>
      </c>
    </row>
    <row r="14" spans="2:10" s="2" customFormat="1" ht="15" x14ac:dyDescent="0.25">
      <c r="B14" s="2" t="s">
        <v>20</v>
      </c>
      <c r="C14" s="2" t="s">
        <v>21</v>
      </c>
    </row>
    <row r="15" spans="2:10" s="2" customFormat="1" ht="15" x14ac:dyDescent="0.25">
      <c r="B15" s="2" t="s">
        <v>22</v>
      </c>
      <c r="C15" s="2" t="s">
        <v>11</v>
      </c>
    </row>
    <row r="16" spans="2:10" s="2" customFormat="1" ht="15" x14ac:dyDescent="0.25">
      <c r="B16" s="2" t="s">
        <v>23</v>
      </c>
      <c r="C16" s="2" t="s">
        <v>24</v>
      </c>
    </row>
    <row r="18" spans="2:10" s="3" customFormat="1" ht="15" x14ac:dyDescent="0.25">
      <c r="B18" s="3" t="s">
        <v>25</v>
      </c>
    </row>
    <row r="19" spans="2:10" s="2" customFormat="1" ht="15" x14ac:dyDescent="0.25">
      <c r="B19" s="2" t="s">
        <v>26</v>
      </c>
    </row>
    <row r="20" spans="2:10" s="2" customFormat="1" ht="15" x14ac:dyDescent="0.25">
      <c r="B20" s="2" t="s">
        <v>27</v>
      </c>
    </row>
    <row r="22" spans="2:10" x14ac:dyDescent="0.25">
      <c r="B22" s="5" t="s">
        <v>28</v>
      </c>
      <c r="C22" s="5" t="s">
        <v>29</v>
      </c>
      <c r="D22" s="5" t="s">
        <v>30</v>
      </c>
      <c r="E22" s="5" t="s">
        <v>31</v>
      </c>
      <c r="F22" s="5" t="s">
        <v>32</v>
      </c>
      <c r="G22" s="5" t="s">
        <v>33</v>
      </c>
      <c r="H22" s="5" t="s">
        <v>34</v>
      </c>
      <c r="I22" s="5" t="s">
        <v>35</v>
      </c>
      <c r="J22" s="5" t="s">
        <v>36</v>
      </c>
    </row>
    <row r="23" spans="2:10" ht="30" x14ac:dyDescent="0.25">
      <c r="B23" s="4" t="s">
        <v>37</v>
      </c>
      <c r="C23" s="4" t="s">
        <v>38</v>
      </c>
      <c r="D23" s="4" t="s">
        <v>39</v>
      </c>
      <c r="E23" s="87">
        <v>-550421.66</v>
      </c>
      <c r="F23" s="88" t="s">
        <v>40</v>
      </c>
      <c r="G23" s="88" t="s">
        <v>40</v>
      </c>
      <c r="H23" s="88" t="s">
        <v>40</v>
      </c>
      <c r="I23" s="88" t="s">
        <v>40</v>
      </c>
      <c r="J23" s="89">
        <v>-550421.66</v>
      </c>
    </row>
    <row r="24" spans="2:10" ht="30" x14ac:dyDescent="0.25">
      <c r="B24" s="4" t="s">
        <v>41</v>
      </c>
      <c r="C24" s="4" t="s">
        <v>38</v>
      </c>
      <c r="D24" s="4" t="s">
        <v>39</v>
      </c>
      <c r="E24" s="87">
        <v>-160468.69</v>
      </c>
      <c r="F24" s="88" t="s">
        <v>40</v>
      </c>
      <c r="G24" s="88" t="s">
        <v>40</v>
      </c>
      <c r="H24" s="88" t="s">
        <v>40</v>
      </c>
      <c r="I24" s="88" t="s">
        <v>40</v>
      </c>
      <c r="J24" s="89">
        <v>-160468.69</v>
      </c>
    </row>
    <row r="25" spans="2:10" ht="30" x14ac:dyDescent="0.25">
      <c r="B25" s="4" t="s">
        <v>42</v>
      </c>
      <c r="C25" s="4" t="s">
        <v>38</v>
      </c>
      <c r="D25" s="4" t="s">
        <v>39</v>
      </c>
      <c r="E25" s="87">
        <v>-917740.39</v>
      </c>
      <c r="F25" s="88" t="s">
        <v>40</v>
      </c>
      <c r="G25" s="88" t="s">
        <v>40</v>
      </c>
      <c r="H25" s="88" t="s">
        <v>40</v>
      </c>
      <c r="I25" s="88" t="s">
        <v>40</v>
      </c>
      <c r="J25" s="89">
        <v>-917740.39</v>
      </c>
    </row>
    <row r="26" spans="2:10" ht="30" x14ac:dyDescent="0.25">
      <c r="B26" s="4" t="s">
        <v>43</v>
      </c>
      <c r="C26" s="4" t="s">
        <v>44</v>
      </c>
      <c r="D26" s="4" t="s">
        <v>45</v>
      </c>
      <c r="E26" s="87">
        <v>96418.875</v>
      </c>
      <c r="F26" s="88" t="s">
        <v>40</v>
      </c>
      <c r="G26" s="88" t="s">
        <v>40</v>
      </c>
      <c r="H26" s="88" t="s">
        <v>40</v>
      </c>
      <c r="I26" s="88" t="s">
        <v>40</v>
      </c>
      <c r="J26" s="89">
        <v>96418.875</v>
      </c>
    </row>
    <row r="27" spans="2:10" ht="45" x14ac:dyDescent="0.25">
      <c r="B27" s="4" t="s">
        <v>46</v>
      </c>
      <c r="C27" s="4" t="s">
        <v>47</v>
      </c>
      <c r="D27" s="4" t="s">
        <v>48</v>
      </c>
      <c r="E27" s="87">
        <v>105112.00077</v>
      </c>
      <c r="F27" s="88" t="s">
        <v>40</v>
      </c>
      <c r="G27" s="88" t="s">
        <v>40</v>
      </c>
      <c r="H27" s="88" t="s">
        <v>40</v>
      </c>
      <c r="I27" s="88" t="s">
        <v>40</v>
      </c>
      <c r="J27" s="89">
        <v>105112.00077</v>
      </c>
    </row>
    <row r="28" spans="2:10" x14ac:dyDescent="0.25">
      <c r="B28" s="4" t="s">
        <v>49</v>
      </c>
      <c r="C28" s="4" t="s">
        <v>50</v>
      </c>
      <c r="D28" s="4" t="s">
        <v>51</v>
      </c>
      <c r="E28" s="87">
        <v>210000</v>
      </c>
      <c r="F28" s="88" t="s">
        <v>40</v>
      </c>
      <c r="G28" s="88" t="s">
        <v>40</v>
      </c>
      <c r="H28" s="87">
        <v>210000</v>
      </c>
      <c r="I28" s="88" t="s">
        <v>40</v>
      </c>
      <c r="J28" s="90" t="s">
        <v>40</v>
      </c>
    </row>
    <row r="29" spans="2:10" x14ac:dyDescent="0.25">
      <c r="B29" s="4" t="s">
        <v>52</v>
      </c>
      <c r="C29" s="4" t="s">
        <v>53</v>
      </c>
      <c r="D29" s="4" t="s">
        <v>54</v>
      </c>
      <c r="E29" s="87">
        <v>31779.661199999999</v>
      </c>
      <c r="F29" s="88" t="s">
        <v>40</v>
      </c>
      <c r="G29" s="88" t="s">
        <v>40</v>
      </c>
      <c r="H29" s="87">
        <v>31779.661199999999</v>
      </c>
      <c r="I29" s="88" t="s">
        <v>40</v>
      </c>
      <c r="J29" s="90" t="s">
        <v>40</v>
      </c>
    </row>
    <row r="30" spans="2:10" x14ac:dyDescent="0.25">
      <c r="B30" s="4" t="s">
        <v>55</v>
      </c>
      <c r="C30" s="4" t="s">
        <v>56</v>
      </c>
      <c r="D30" s="4" t="s">
        <v>57</v>
      </c>
      <c r="E30" s="87">
        <v>517287.26437500003</v>
      </c>
      <c r="F30" s="88" t="s">
        <v>40</v>
      </c>
      <c r="G30" s="88" t="s">
        <v>40</v>
      </c>
      <c r="H30" s="87">
        <v>517287.26437500003</v>
      </c>
      <c r="I30" s="88" t="s">
        <v>40</v>
      </c>
      <c r="J30" s="90" t="s">
        <v>40</v>
      </c>
    </row>
    <row r="31" spans="2:10" x14ac:dyDescent="0.25">
      <c r="B31" s="4" t="s">
        <v>58</v>
      </c>
      <c r="C31" s="4" t="s">
        <v>50</v>
      </c>
      <c r="D31" s="4" t="s">
        <v>59</v>
      </c>
      <c r="E31" s="87">
        <v>52500</v>
      </c>
      <c r="F31" s="88" t="s">
        <v>40</v>
      </c>
      <c r="G31" s="87">
        <v>52500</v>
      </c>
      <c r="H31" s="88" t="s">
        <v>40</v>
      </c>
      <c r="I31" s="88" t="s">
        <v>40</v>
      </c>
      <c r="J31" s="90" t="s">
        <v>40</v>
      </c>
    </row>
    <row r="32" spans="2:10" ht="30" x14ac:dyDescent="0.25">
      <c r="B32" s="4" t="s">
        <v>60</v>
      </c>
      <c r="C32" s="4" t="s">
        <v>61</v>
      </c>
      <c r="D32" s="4" t="s">
        <v>62</v>
      </c>
      <c r="E32" s="87">
        <v>35433.954927999999</v>
      </c>
      <c r="F32" s="88" t="s">
        <v>40</v>
      </c>
      <c r="G32" s="88" t="s">
        <v>40</v>
      </c>
      <c r="H32" s="88" t="s">
        <v>40</v>
      </c>
      <c r="I32" s="88" t="s">
        <v>40</v>
      </c>
      <c r="J32" s="90" t="s">
        <v>40</v>
      </c>
    </row>
  </sheetData>
  <mergeCells count="1">
    <mergeCell ref="B1:J1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19D09-C9C2-44CA-BA26-798899BA1D58}">
  <sheetPr>
    <pageSetUpPr fitToPage="1"/>
  </sheetPr>
  <dimension ref="A1:T43"/>
  <sheetViews>
    <sheetView zoomScaleNormal="100" workbookViewId="0">
      <selection activeCell="A2" sqref="A2:XFD14"/>
    </sheetView>
  </sheetViews>
  <sheetFormatPr defaultColWidth="8.88671875" defaultRowHeight="14.4" x14ac:dyDescent="0.3"/>
  <cols>
    <col min="1" max="1" width="4.88671875" style="57" customWidth="1"/>
    <col min="2" max="2" width="41.5546875" style="56" bestFit="1" customWidth="1"/>
    <col min="3" max="3" width="6.5546875" style="56" customWidth="1"/>
    <col min="4" max="4" width="7.44140625" style="56" bestFit="1" customWidth="1"/>
    <col min="5" max="5" width="12.109375" style="57" bestFit="1" customWidth="1"/>
    <col min="6" max="9" width="10.44140625" style="57" bestFit="1" customWidth="1"/>
    <col min="10" max="10" width="10.44140625" style="57" customWidth="1"/>
    <col min="11" max="11" width="10.44140625" style="57" bestFit="1" customWidth="1"/>
    <col min="12" max="12" width="5.44140625" style="57" hidden="1" customWidth="1"/>
    <col min="13" max="13" width="13.44140625" style="57" hidden="1" customWidth="1"/>
    <col min="14" max="14" width="8.44140625" style="57" hidden="1" customWidth="1"/>
    <col min="15" max="15" width="11.44140625" style="57" bestFit="1" customWidth="1"/>
    <col min="16" max="16" width="11.44140625" style="57" customWidth="1"/>
    <col min="17" max="17" width="10.5546875" style="57" bestFit="1" customWidth="1"/>
    <col min="18" max="19" width="10.6640625" style="57" hidden="1" customWidth="1"/>
    <col min="20" max="20" width="11.33203125" style="57" customWidth="1"/>
    <col min="21" max="16384" width="8.88671875" style="57"/>
  </cols>
  <sheetData>
    <row r="1" spans="1:20" x14ac:dyDescent="0.3">
      <c r="A1" s="6" t="s">
        <v>9</v>
      </c>
      <c r="F1" s="58">
        <v>44196</v>
      </c>
      <c r="G1" s="58">
        <f>+F2</f>
        <v>44166</v>
      </c>
      <c r="H1" s="58">
        <f>+G2</f>
        <v>44136</v>
      </c>
      <c r="I1" s="58">
        <f>+H2</f>
        <v>44106</v>
      </c>
      <c r="J1" s="58"/>
      <c r="K1" s="58">
        <f>+I2</f>
        <v>44016</v>
      </c>
    </row>
    <row r="2" spans="1:20" x14ac:dyDescent="0.3">
      <c r="A2" s="6" t="s">
        <v>63</v>
      </c>
      <c r="F2" s="58">
        <f>+F1-F3</f>
        <v>44166</v>
      </c>
      <c r="G2" s="58">
        <f>+G1-G3</f>
        <v>44136</v>
      </c>
      <c r="H2" s="58">
        <f>+H1-H3</f>
        <v>44106</v>
      </c>
      <c r="I2" s="58">
        <f>+I1-I3</f>
        <v>44016</v>
      </c>
      <c r="J2" s="58"/>
      <c r="K2" s="58">
        <f>+K1-K3</f>
        <v>43831</v>
      </c>
    </row>
    <row r="3" spans="1:20" x14ac:dyDescent="0.3">
      <c r="F3" s="59">
        <v>30</v>
      </c>
      <c r="G3" s="59">
        <v>30</v>
      </c>
      <c r="H3" s="59">
        <v>30</v>
      </c>
      <c r="I3" s="59">
        <v>90</v>
      </c>
      <c r="J3" s="59"/>
      <c r="K3" s="59">
        <v>185</v>
      </c>
    </row>
    <row r="4" spans="1:20" x14ac:dyDescent="0.3">
      <c r="A4" s="136" t="s">
        <v>64</v>
      </c>
      <c r="B4" s="138" t="s">
        <v>65</v>
      </c>
      <c r="C4" s="140" t="s">
        <v>66</v>
      </c>
      <c r="D4" s="140" t="s">
        <v>67</v>
      </c>
      <c r="E4" s="138" t="s">
        <v>68</v>
      </c>
      <c r="F4" s="142" t="s">
        <v>69</v>
      </c>
      <c r="G4" s="144"/>
      <c r="H4" s="144"/>
      <c r="I4" s="144"/>
      <c r="J4" s="144"/>
      <c r="K4" s="144"/>
      <c r="L4" s="143"/>
      <c r="M4" s="142" t="s">
        <v>70</v>
      </c>
      <c r="N4" s="143"/>
      <c r="O4" s="140" t="s">
        <v>71</v>
      </c>
      <c r="P4" s="136" t="s">
        <v>72</v>
      </c>
      <c r="Q4" s="134" t="s">
        <v>73</v>
      </c>
      <c r="R4" s="136" t="s">
        <v>74</v>
      </c>
      <c r="S4" s="136" t="s">
        <v>75</v>
      </c>
      <c r="T4" s="134" t="s">
        <v>76</v>
      </c>
    </row>
    <row r="5" spans="1:20" s="38" customFormat="1" x14ac:dyDescent="0.3">
      <c r="A5" s="137"/>
      <c r="B5" s="139"/>
      <c r="C5" s="141"/>
      <c r="D5" s="141"/>
      <c r="E5" s="139"/>
      <c r="F5" s="7" t="s">
        <v>77</v>
      </c>
      <c r="G5" s="8" t="s">
        <v>78</v>
      </c>
      <c r="H5" s="8" t="s">
        <v>79</v>
      </c>
      <c r="I5" s="8" t="s">
        <v>80</v>
      </c>
      <c r="J5" s="8" t="s">
        <v>81</v>
      </c>
      <c r="K5" s="8" t="s">
        <v>82</v>
      </c>
      <c r="L5" s="9" t="s">
        <v>83</v>
      </c>
      <c r="M5" s="10" t="s">
        <v>84</v>
      </c>
      <c r="N5" s="10" t="s">
        <v>85</v>
      </c>
      <c r="O5" s="141"/>
      <c r="P5" s="137"/>
      <c r="Q5" s="135"/>
      <c r="R5" s="137"/>
      <c r="S5" s="137"/>
      <c r="T5" s="135"/>
    </row>
    <row r="6" spans="1:20" x14ac:dyDescent="0.3">
      <c r="A6" s="50">
        <v>1</v>
      </c>
      <c r="B6" s="11" t="s">
        <v>86</v>
      </c>
      <c r="C6" s="60" t="s">
        <v>87</v>
      </c>
      <c r="D6" s="44">
        <f t="shared" ref="D6:D12" si="0">E6/$E$13</f>
        <v>0.49334439446421208</v>
      </c>
      <c r="E6" s="12">
        <f t="shared" ref="E6:E12" si="1">SUM(F6:L6)</f>
        <v>517287.26437500003</v>
      </c>
      <c r="F6" s="13">
        <v>0</v>
      </c>
      <c r="G6" s="14">
        <v>0</v>
      </c>
      <c r="H6" s="14">
        <v>0</v>
      </c>
      <c r="I6" s="15">
        <v>517287.26437500003</v>
      </c>
      <c r="J6" s="15"/>
      <c r="K6" s="15">
        <v>0</v>
      </c>
      <c r="L6" s="16">
        <v>0</v>
      </c>
      <c r="M6" s="12">
        <f>+E6</f>
        <v>517287.26437500003</v>
      </c>
      <c r="N6" s="12"/>
      <c r="O6" s="17">
        <f t="shared" ref="O6:O12" si="2">IF(E6&gt;10%*$E$13,E6,0)</f>
        <v>517287.26437500003</v>
      </c>
      <c r="P6" s="18">
        <v>517287.26437500003</v>
      </c>
      <c r="Q6" s="18">
        <f t="shared" ref="Q6:Q12" si="3">+E6-P6</f>
        <v>0</v>
      </c>
      <c r="R6" s="61">
        <f t="shared" ref="R6:R12" si="4">+IF(N6&gt;0,P6,0)</f>
        <v>0</v>
      </c>
      <c r="S6" s="61">
        <f t="shared" ref="S6:S12" si="5">+IF(M6&gt;0,P6,0)</f>
        <v>517287.26437500003</v>
      </c>
      <c r="T6" s="48">
        <v>44784</v>
      </c>
    </row>
    <row r="7" spans="1:20" ht="28.8" x14ac:dyDescent="0.3">
      <c r="A7" s="51">
        <f>+A6+1</f>
        <v>2</v>
      </c>
      <c r="B7" s="19" t="s">
        <v>88</v>
      </c>
      <c r="C7" s="60" t="s">
        <v>87</v>
      </c>
      <c r="D7" s="45">
        <f t="shared" si="0"/>
        <v>0.20028005708329119</v>
      </c>
      <c r="E7" s="20">
        <f t="shared" si="1"/>
        <v>210000</v>
      </c>
      <c r="F7" s="21">
        <v>0</v>
      </c>
      <c r="G7" s="17">
        <v>0</v>
      </c>
      <c r="H7" s="17">
        <v>0</v>
      </c>
      <c r="I7" s="22">
        <v>210000</v>
      </c>
      <c r="J7" s="22"/>
      <c r="K7" s="22">
        <v>0</v>
      </c>
      <c r="L7" s="23">
        <v>0</v>
      </c>
      <c r="M7" s="20">
        <f>+E7</f>
        <v>210000</v>
      </c>
      <c r="N7" s="20"/>
      <c r="O7" s="17">
        <f t="shared" si="2"/>
        <v>210000</v>
      </c>
      <c r="P7" s="24">
        <v>210000</v>
      </c>
      <c r="Q7" s="24">
        <f t="shared" si="3"/>
        <v>0</v>
      </c>
      <c r="R7" s="62">
        <f t="shared" si="4"/>
        <v>0</v>
      </c>
      <c r="S7" s="62">
        <f t="shared" si="5"/>
        <v>210000</v>
      </c>
      <c r="T7" s="78" t="s">
        <v>89</v>
      </c>
    </row>
    <row r="8" spans="1:20" ht="28.8" x14ac:dyDescent="0.3">
      <c r="A8" s="51">
        <f t="shared" ref="A8:A12" si="6">+A7+1</f>
        <v>3</v>
      </c>
      <c r="B8" s="19" t="s">
        <v>90</v>
      </c>
      <c r="C8" s="60"/>
      <c r="D8" s="45">
        <f t="shared" si="0"/>
        <v>0.10024684530645021</v>
      </c>
      <c r="E8" s="20">
        <f t="shared" si="1"/>
        <v>105112.00077</v>
      </c>
      <c r="F8" s="21">
        <v>0</v>
      </c>
      <c r="G8" s="17">
        <v>0</v>
      </c>
      <c r="H8" s="17">
        <v>0</v>
      </c>
      <c r="I8" s="17">
        <v>105112.00077</v>
      </c>
      <c r="J8" s="22"/>
      <c r="K8" s="22">
        <v>0</v>
      </c>
      <c r="L8" s="23">
        <v>0</v>
      </c>
      <c r="M8" s="20"/>
      <c r="N8" s="20"/>
      <c r="O8" s="17">
        <f t="shared" si="2"/>
        <v>105112.00077</v>
      </c>
      <c r="P8" s="24">
        <v>105112.00077</v>
      </c>
      <c r="Q8" s="24">
        <f t="shared" si="3"/>
        <v>0</v>
      </c>
      <c r="R8" s="62">
        <f t="shared" si="4"/>
        <v>0</v>
      </c>
      <c r="S8" s="62">
        <f t="shared" si="5"/>
        <v>0</v>
      </c>
      <c r="T8" s="49">
        <v>44865</v>
      </c>
    </row>
    <row r="9" spans="1:20" x14ac:dyDescent="0.3">
      <c r="A9" s="51">
        <f t="shared" si="6"/>
        <v>4</v>
      </c>
      <c r="B9" s="19" t="s">
        <v>91</v>
      </c>
      <c r="C9" s="60"/>
      <c r="D9" s="45">
        <f t="shared" si="0"/>
        <v>9.1956084709079608E-2</v>
      </c>
      <c r="E9" s="20">
        <f t="shared" si="1"/>
        <v>96418.875</v>
      </c>
      <c r="F9" s="21">
        <v>0</v>
      </c>
      <c r="G9" s="17">
        <v>0</v>
      </c>
      <c r="H9" s="17">
        <v>0</v>
      </c>
      <c r="I9" s="22">
        <v>0</v>
      </c>
      <c r="J9" s="22"/>
      <c r="K9" s="22">
        <v>96418.875</v>
      </c>
      <c r="L9" s="23">
        <v>0</v>
      </c>
      <c r="M9" s="20"/>
      <c r="N9" s="20"/>
      <c r="O9" s="17">
        <f t="shared" si="2"/>
        <v>0</v>
      </c>
      <c r="P9" s="24">
        <v>96418.875</v>
      </c>
      <c r="Q9" s="24">
        <f t="shared" si="3"/>
        <v>0</v>
      </c>
      <c r="R9" s="62">
        <f t="shared" si="4"/>
        <v>0</v>
      </c>
      <c r="S9" s="62">
        <f t="shared" si="5"/>
        <v>0</v>
      </c>
      <c r="T9" s="49">
        <v>44798</v>
      </c>
    </row>
    <row r="10" spans="1:20" x14ac:dyDescent="0.3">
      <c r="A10" s="51">
        <f t="shared" si="6"/>
        <v>5</v>
      </c>
      <c r="B10" s="19" t="s">
        <v>88</v>
      </c>
      <c r="C10" s="60" t="s">
        <v>87</v>
      </c>
      <c r="D10" s="45">
        <f t="shared" si="0"/>
        <v>5.0070014270822798E-2</v>
      </c>
      <c r="E10" s="20">
        <f t="shared" si="1"/>
        <v>52500</v>
      </c>
      <c r="F10" s="21">
        <v>0</v>
      </c>
      <c r="G10" s="17">
        <v>0</v>
      </c>
      <c r="H10" s="17">
        <v>52500</v>
      </c>
      <c r="I10" s="22">
        <v>0</v>
      </c>
      <c r="J10" s="22"/>
      <c r="K10" s="22">
        <v>0</v>
      </c>
      <c r="L10" s="23">
        <v>0</v>
      </c>
      <c r="M10" s="20">
        <f>+E10</f>
        <v>52500</v>
      </c>
      <c r="N10" s="20"/>
      <c r="O10" s="17">
        <f t="shared" si="2"/>
        <v>0</v>
      </c>
      <c r="P10" s="24">
        <v>0</v>
      </c>
      <c r="Q10" s="79">
        <f t="shared" si="3"/>
        <v>52500</v>
      </c>
      <c r="R10" s="62">
        <f t="shared" si="4"/>
        <v>0</v>
      </c>
      <c r="S10" s="62">
        <f t="shared" si="5"/>
        <v>0</v>
      </c>
      <c r="T10" s="49"/>
    </row>
    <row r="11" spans="1:20" x14ac:dyDescent="0.3">
      <c r="A11" s="51">
        <f t="shared" si="6"/>
        <v>6</v>
      </c>
      <c r="B11" s="19" t="s">
        <v>61</v>
      </c>
      <c r="C11" s="60" t="s">
        <v>87</v>
      </c>
      <c r="D11" s="45">
        <f t="shared" si="0"/>
        <v>3.3793878646031457E-2</v>
      </c>
      <c r="E11" s="20">
        <f t="shared" si="1"/>
        <v>35433.954927999999</v>
      </c>
      <c r="F11" s="21">
        <v>35433.954927999999</v>
      </c>
      <c r="G11" s="17">
        <v>0</v>
      </c>
      <c r="H11" s="17">
        <v>0</v>
      </c>
      <c r="I11" s="22">
        <v>0</v>
      </c>
      <c r="J11" s="22"/>
      <c r="K11" s="22">
        <v>0</v>
      </c>
      <c r="L11" s="23">
        <v>0</v>
      </c>
      <c r="M11" s="20">
        <f>+E11</f>
        <v>35433.954927999999</v>
      </c>
      <c r="N11" s="20"/>
      <c r="O11" s="17">
        <f t="shared" si="2"/>
        <v>0</v>
      </c>
      <c r="P11" s="24">
        <v>35433.954927999999</v>
      </c>
      <c r="Q11" s="24">
        <f t="shared" si="3"/>
        <v>0</v>
      </c>
      <c r="R11" s="62">
        <f t="shared" si="4"/>
        <v>0</v>
      </c>
      <c r="S11" s="62">
        <f t="shared" si="5"/>
        <v>35433.954927999999</v>
      </c>
      <c r="T11" s="49">
        <v>44779</v>
      </c>
    </row>
    <row r="12" spans="1:20" x14ac:dyDescent="0.3">
      <c r="A12" s="51">
        <f t="shared" si="6"/>
        <v>7</v>
      </c>
      <c r="B12" s="19" t="s">
        <v>92</v>
      </c>
      <c r="C12" s="60"/>
      <c r="D12" s="45">
        <f t="shared" si="0"/>
        <v>3.0308725520112635E-2</v>
      </c>
      <c r="E12" s="20">
        <f t="shared" si="1"/>
        <v>31779.661199999999</v>
      </c>
      <c r="F12" s="21">
        <v>0</v>
      </c>
      <c r="G12" s="17">
        <v>0</v>
      </c>
      <c r="H12" s="17">
        <v>0</v>
      </c>
      <c r="I12" s="22">
        <v>31779.661199999999</v>
      </c>
      <c r="J12" s="22"/>
      <c r="K12" s="22">
        <v>0</v>
      </c>
      <c r="L12" s="23">
        <v>0</v>
      </c>
      <c r="M12" s="20"/>
      <c r="N12" s="20"/>
      <c r="O12" s="17">
        <f t="shared" si="2"/>
        <v>0</v>
      </c>
      <c r="P12" s="24">
        <v>31779.661199999999</v>
      </c>
      <c r="Q12" s="24">
        <f t="shared" si="3"/>
        <v>0</v>
      </c>
      <c r="R12" s="62">
        <f t="shared" si="4"/>
        <v>0</v>
      </c>
      <c r="S12" s="62">
        <f t="shared" si="5"/>
        <v>0</v>
      </c>
      <c r="T12" s="49">
        <v>44784</v>
      </c>
    </row>
    <row r="13" spans="1:20" s="65" customFormat="1" x14ac:dyDescent="0.3">
      <c r="A13" s="52"/>
      <c r="B13" s="25" t="s">
        <v>93</v>
      </c>
      <c r="C13" s="63"/>
      <c r="D13" s="46"/>
      <c r="E13" s="26">
        <f t="shared" ref="E13:Q13" si="7">SUM(E6:E12)</f>
        <v>1048531.756273</v>
      </c>
      <c r="F13" s="27">
        <f t="shared" si="7"/>
        <v>35433.954927999999</v>
      </c>
      <c r="G13" s="28">
        <f t="shared" si="7"/>
        <v>0</v>
      </c>
      <c r="H13" s="28">
        <f t="shared" si="7"/>
        <v>52500</v>
      </c>
      <c r="I13" s="28">
        <f t="shared" si="7"/>
        <v>864178.92634500004</v>
      </c>
      <c r="J13" s="53"/>
      <c r="K13" s="28">
        <f t="shared" si="7"/>
        <v>96418.875</v>
      </c>
      <c r="L13" s="29">
        <f t="shared" si="7"/>
        <v>0</v>
      </c>
      <c r="M13" s="26">
        <f t="shared" si="7"/>
        <v>815221.21930300002</v>
      </c>
      <c r="N13" s="26">
        <f t="shared" si="7"/>
        <v>0</v>
      </c>
      <c r="O13" s="26">
        <f t="shared" si="7"/>
        <v>832399.26514500007</v>
      </c>
      <c r="P13" s="26">
        <f t="shared" si="7"/>
        <v>996031.75627300004</v>
      </c>
      <c r="Q13" s="26">
        <f t="shared" si="7"/>
        <v>52500</v>
      </c>
      <c r="R13" s="64">
        <f>SUM(R6:R8)</f>
        <v>0</v>
      </c>
      <c r="S13" s="64">
        <f>SUM(S6:S8)</f>
        <v>727287.26437500003</v>
      </c>
      <c r="T13" s="26"/>
    </row>
    <row r="14" spans="1:20" s="38" customFormat="1" x14ac:dyDescent="0.3">
      <c r="A14" s="66"/>
      <c r="B14" s="30"/>
      <c r="C14" s="67"/>
      <c r="D14" s="47"/>
      <c r="E14" s="31"/>
      <c r="F14" s="32">
        <f>+F13/$E$13</f>
        <v>3.3793878646031457E-2</v>
      </c>
      <c r="G14" s="33">
        <f t="shared" ref="G14:H14" si="8">+G13/$E$13</f>
        <v>0</v>
      </c>
      <c r="H14" s="33">
        <f t="shared" si="8"/>
        <v>5.0070014270822798E-2</v>
      </c>
      <c r="I14" s="33">
        <f>+I13/$E$13</f>
        <v>0.82418002237406618</v>
      </c>
      <c r="J14" s="54"/>
      <c r="K14" s="33">
        <f>+K13/$E$13</f>
        <v>9.1956084709079608E-2</v>
      </c>
      <c r="L14" s="34">
        <f>+L13/$E$13</f>
        <v>0</v>
      </c>
      <c r="M14" s="35">
        <f>+M13/E13</f>
        <v>0.77748834446435755</v>
      </c>
      <c r="N14" s="35">
        <f>+N13/E13</f>
        <v>0</v>
      </c>
      <c r="O14" s="35">
        <f>+O13/E13</f>
        <v>0.79387129685395352</v>
      </c>
      <c r="P14" s="35">
        <f>+P13/E13</f>
        <v>0.9499299857291772</v>
      </c>
      <c r="Q14" s="35">
        <f>+Q13/E13</f>
        <v>5.0070014270822798E-2</v>
      </c>
      <c r="R14" s="68"/>
      <c r="T14" s="35"/>
    </row>
    <row r="15" spans="1:20" s="38" customFormat="1" x14ac:dyDescent="0.3">
      <c r="B15" s="6" t="s">
        <v>94</v>
      </c>
      <c r="C15" s="69"/>
      <c r="D15" s="39"/>
      <c r="E15" s="80">
        <f>SUM(F15:K15)</f>
        <v>-996031.75627300004</v>
      </c>
      <c r="F15" s="81">
        <f>-F11</f>
        <v>-35433.954927999999</v>
      </c>
      <c r="G15" s="82"/>
      <c r="H15" s="82"/>
      <c r="I15" s="81">
        <f>-I6-I7-I8-I12</f>
        <v>-864178.92634500004</v>
      </c>
      <c r="J15" s="83"/>
      <c r="K15" s="81">
        <f>-K9</f>
        <v>-96418.875</v>
      </c>
      <c r="L15" s="37"/>
      <c r="M15" s="37"/>
      <c r="N15" s="37"/>
      <c r="O15" s="37"/>
      <c r="P15" s="37"/>
      <c r="Q15" s="37"/>
      <c r="R15" s="68"/>
      <c r="T15" s="37"/>
    </row>
    <row r="16" spans="1:20" s="38" customFormat="1" x14ac:dyDescent="0.3">
      <c r="B16" s="6" t="s">
        <v>95</v>
      </c>
      <c r="C16" s="69"/>
      <c r="D16" s="39"/>
      <c r="E16" s="80">
        <f>E13+E15</f>
        <v>52500</v>
      </c>
      <c r="F16" s="80">
        <f t="shared" ref="F16:K16" si="9">F13+F15</f>
        <v>0</v>
      </c>
      <c r="G16" s="80">
        <f t="shared" si="9"/>
        <v>0</v>
      </c>
      <c r="H16" s="80">
        <f t="shared" si="9"/>
        <v>52500</v>
      </c>
      <c r="I16" s="80">
        <f t="shared" si="9"/>
        <v>0</v>
      </c>
      <c r="J16" s="80">
        <f t="shared" si="9"/>
        <v>0</v>
      </c>
      <c r="K16" s="80">
        <f t="shared" si="9"/>
        <v>0</v>
      </c>
      <c r="L16" s="37"/>
      <c r="M16" s="37"/>
      <c r="N16" s="37"/>
      <c r="O16" s="37"/>
      <c r="P16" s="37"/>
      <c r="Q16" s="37"/>
      <c r="R16" s="68"/>
      <c r="T16" s="37"/>
    </row>
    <row r="17" spans="1:20" s="38" customFormat="1" x14ac:dyDescent="0.3">
      <c r="B17" s="69"/>
      <c r="C17" s="69"/>
      <c r="D17" s="69"/>
      <c r="E17" s="36"/>
      <c r="F17" s="37"/>
      <c r="G17" s="37"/>
      <c r="H17" s="37"/>
      <c r="I17" s="37"/>
      <c r="J17" s="55"/>
      <c r="K17" s="37"/>
      <c r="L17" s="37"/>
      <c r="M17" s="37"/>
      <c r="N17" s="37"/>
      <c r="O17" s="37"/>
      <c r="P17" s="37"/>
      <c r="Q17" s="37"/>
      <c r="R17" s="68"/>
    </row>
    <row r="18" spans="1:20" x14ac:dyDescent="0.3">
      <c r="A18" s="6" t="s">
        <v>96</v>
      </c>
      <c r="F18" s="58"/>
      <c r="G18" s="58"/>
      <c r="H18" s="58"/>
      <c r="I18" s="58"/>
      <c r="J18" s="58"/>
      <c r="K18" s="58"/>
    </row>
    <row r="19" spans="1:20" x14ac:dyDescent="0.3">
      <c r="F19" s="59">
        <v>30</v>
      </c>
      <c r="G19" s="59">
        <v>30</v>
      </c>
      <c r="H19" s="59">
        <v>30</v>
      </c>
      <c r="I19" s="59">
        <v>90</v>
      </c>
      <c r="J19" s="59"/>
      <c r="K19" s="59">
        <v>185</v>
      </c>
    </row>
    <row r="20" spans="1:20" x14ac:dyDescent="0.3">
      <c r="A20" s="136" t="s">
        <v>64</v>
      </c>
      <c r="B20" s="138" t="s">
        <v>65</v>
      </c>
      <c r="C20" s="140" t="s">
        <v>66</v>
      </c>
      <c r="D20" s="140" t="s">
        <v>67</v>
      </c>
      <c r="E20" s="138" t="s">
        <v>68</v>
      </c>
      <c r="F20" s="142" t="s">
        <v>69</v>
      </c>
      <c r="G20" s="144"/>
      <c r="H20" s="144"/>
      <c r="I20" s="144"/>
      <c r="J20" s="144"/>
      <c r="K20" s="144"/>
      <c r="L20" s="143"/>
      <c r="M20" s="142" t="s">
        <v>70</v>
      </c>
      <c r="N20" s="143"/>
      <c r="O20" s="140" t="s">
        <v>71</v>
      </c>
      <c r="P20" s="136" t="s">
        <v>72</v>
      </c>
      <c r="Q20" s="134" t="s">
        <v>73</v>
      </c>
      <c r="R20" s="136" t="s">
        <v>74</v>
      </c>
      <c r="S20" s="136" t="s">
        <v>75</v>
      </c>
      <c r="T20" s="134" t="s">
        <v>76</v>
      </c>
    </row>
    <row r="21" spans="1:20" s="38" customFormat="1" x14ac:dyDescent="0.3">
      <c r="A21" s="137"/>
      <c r="B21" s="139"/>
      <c r="C21" s="141"/>
      <c r="D21" s="141"/>
      <c r="E21" s="139"/>
      <c r="F21" s="7" t="s">
        <v>77</v>
      </c>
      <c r="G21" s="8" t="s">
        <v>78</v>
      </c>
      <c r="H21" s="8" t="s">
        <v>79</v>
      </c>
      <c r="I21" s="8" t="s">
        <v>80</v>
      </c>
      <c r="J21" s="8" t="s">
        <v>81</v>
      </c>
      <c r="K21" s="8" t="s">
        <v>82</v>
      </c>
      <c r="L21" s="9" t="s">
        <v>83</v>
      </c>
      <c r="M21" s="10" t="s">
        <v>84</v>
      </c>
      <c r="N21" s="10" t="s">
        <v>85</v>
      </c>
      <c r="O21" s="141"/>
      <c r="P21" s="137"/>
      <c r="Q21" s="135"/>
      <c r="R21" s="137"/>
      <c r="S21" s="137"/>
      <c r="T21" s="135"/>
    </row>
    <row r="22" spans="1:20" x14ac:dyDescent="0.3">
      <c r="A22" s="50">
        <v>1</v>
      </c>
      <c r="B22" t="s">
        <v>97</v>
      </c>
      <c r="C22" s="60" t="s">
        <v>87</v>
      </c>
      <c r="D22" s="44">
        <f t="shared" ref="D22:D24" si="10">E22/$E$27</f>
        <v>0.18187006202088607</v>
      </c>
      <c r="E22" s="12">
        <f t="shared" ref="E22:E25" si="11">SUM(F22:L22)</f>
        <v>2201152</v>
      </c>
      <c r="F22" s="13">
        <v>785431.66999999993</v>
      </c>
      <c r="G22" s="14">
        <v>125342.70999999999</v>
      </c>
      <c r="H22" s="14">
        <v>311701.93</v>
      </c>
      <c r="I22" s="15">
        <v>268804.94</v>
      </c>
      <c r="J22" s="15">
        <v>709870.75000000023</v>
      </c>
      <c r="K22" s="15">
        <v>0</v>
      </c>
      <c r="L22" s="16">
        <v>0</v>
      </c>
      <c r="M22" s="12">
        <f>+E22</f>
        <v>2201152</v>
      </c>
      <c r="N22" s="12"/>
      <c r="O22" s="17">
        <f>IF(E22&gt;10%*$E$11,E22,0)</f>
        <v>2201152</v>
      </c>
      <c r="P22" s="18">
        <v>1650049.9999999998</v>
      </c>
      <c r="Q22" s="18">
        <f t="shared" ref="Q22:Q25" si="12">+E22-P22</f>
        <v>551102.00000000023</v>
      </c>
      <c r="R22" s="61">
        <f t="shared" ref="R22:R26" si="13">+IF(N22&gt;0,P22,0)</f>
        <v>0</v>
      </c>
      <c r="S22" s="61">
        <f t="shared" ref="S22:S26" si="14">+IF(M22&gt;0,P22,0)</f>
        <v>1650049.9999999998</v>
      </c>
      <c r="T22" s="48"/>
    </row>
    <row r="23" spans="1:20" x14ac:dyDescent="0.3">
      <c r="A23" s="51">
        <f>+A22+1</f>
        <v>2</v>
      </c>
      <c r="B23" t="s">
        <v>98</v>
      </c>
      <c r="C23" s="60" t="s">
        <v>87</v>
      </c>
      <c r="D23" s="45">
        <f t="shared" si="10"/>
        <v>7.9223936615000851E-2</v>
      </c>
      <c r="E23" s="20">
        <f t="shared" si="11"/>
        <v>958838</v>
      </c>
      <c r="F23" s="21">
        <v>93894.37</v>
      </c>
      <c r="G23" s="17">
        <v>88806.290000000008</v>
      </c>
      <c r="H23" s="17">
        <v>180094.81</v>
      </c>
      <c r="I23" s="22">
        <v>186984.97</v>
      </c>
      <c r="J23" s="22">
        <v>409057.56</v>
      </c>
      <c r="K23" s="22">
        <v>0</v>
      </c>
      <c r="L23" s="23">
        <v>0</v>
      </c>
      <c r="M23" s="20">
        <f>+E23</f>
        <v>958838</v>
      </c>
      <c r="N23" s="20"/>
      <c r="O23" s="17">
        <f>IF(E23&gt;10%*$E$11,E23,0)</f>
        <v>958838</v>
      </c>
      <c r="P23" s="24">
        <v>958838</v>
      </c>
      <c r="Q23" s="24">
        <f t="shared" si="12"/>
        <v>0</v>
      </c>
      <c r="R23" s="62">
        <f t="shared" si="13"/>
        <v>0</v>
      </c>
      <c r="S23" s="62">
        <f t="shared" si="14"/>
        <v>958838</v>
      </c>
      <c r="T23" s="78"/>
    </row>
    <row r="24" spans="1:20" x14ac:dyDescent="0.3">
      <c r="A24" s="51">
        <f t="shared" ref="A24:A25" si="15">+A23+1</f>
        <v>3</v>
      </c>
      <c r="B24" t="s">
        <v>99</v>
      </c>
      <c r="C24" s="60"/>
      <c r="D24" s="45">
        <f t="shared" si="10"/>
        <v>0.13571603568110308</v>
      </c>
      <c r="E24" s="20">
        <f t="shared" si="11"/>
        <v>1642555.24</v>
      </c>
      <c r="F24" s="21">
        <v>151635.99</v>
      </c>
      <c r="G24" s="17">
        <v>190665.66</v>
      </c>
      <c r="H24" s="17">
        <v>422222.68</v>
      </c>
      <c r="I24" s="17">
        <v>393480.95</v>
      </c>
      <c r="J24" s="22">
        <v>484549.95999999996</v>
      </c>
      <c r="K24" s="22">
        <v>0</v>
      </c>
      <c r="L24" s="23">
        <v>0</v>
      </c>
      <c r="M24" s="20"/>
      <c r="N24" s="20"/>
      <c r="O24" s="17">
        <f>IF(E24&gt;10%*$E$11,E24,0)</f>
        <v>1642555.24</v>
      </c>
      <c r="P24" s="24">
        <v>0</v>
      </c>
      <c r="Q24" s="24">
        <f t="shared" si="12"/>
        <v>1642555.24</v>
      </c>
      <c r="R24" s="62">
        <f t="shared" si="13"/>
        <v>0</v>
      </c>
      <c r="S24" s="62">
        <f t="shared" si="14"/>
        <v>0</v>
      </c>
      <c r="T24" s="49"/>
    </row>
    <row r="25" spans="1:20" x14ac:dyDescent="0.3">
      <c r="A25" s="51">
        <f t="shared" si="15"/>
        <v>4</v>
      </c>
      <c r="B25" t="s">
        <v>100</v>
      </c>
      <c r="C25" s="60"/>
      <c r="D25" s="45">
        <f>E25/$E$27</f>
        <v>0.60318996568300987</v>
      </c>
      <c r="E25" s="20">
        <f t="shared" si="11"/>
        <v>7300337.3099999996</v>
      </c>
      <c r="F25" s="21">
        <v>1593250.57</v>
      </c>
      <c r="G25" s="17">
        <v>1379592.31</v>
      </c>
      <c r="H25" s="17">
        <v>3159305.63</v>
      </c>
      <c r="I25" s="22">
        <v>1168188.8</v>
      </c>
      <c r="J25" s="22">
        <v>0</v>
      </c>
      <c r="K25" s="22">
        <v>0</v>
      </c>
      <c r="L25" s="23">
        <v>0</v>
      </c>
      <c r="M25" s="20"/>
      <c r="N25" s="20"/>
      <c r="O25" s="17">
        <f>IF(E25&gt;10%*$E$11,E25,0)</f>
        <v>7300337.3099999996</v>
      </c>
      <c r="P25" s="24">
        <v>7300337.3099999996</v>
      </c>
      <c r="Q25" s="24">
        <f t="shared" si="12"/>
        <v>0</v>
      </c>
      <c r="R25" s="62">
        <f t="shared" si="13"/>
        <v>0</v>
      </c>
      <c r="S25" s="62">
        <f t="shared" si="14"/>
        <v>0</v>
      </c>
      <c r="T25" s="49"/>
    </row>
    <row r="26" spans="1:20" x14ac:dyDescent="0.3">
      <c r="A26" s="51"/>
      <c r="B26" s="19"/>
      <c r="C26" s="60"/>
      <c r="D26" s="45"/>
      <c r="E26" s="20"/>
      <c r="F26" s="21"/>
      <c r="G26" s="17"/>
      <c r="H26" s="17"/>
      <c r="I26" s="22"/>
      <c r="J26" s="22"/>
      <c r="K26" s="22"/>
      <c r="L26" s="23">
        <v>0</v>
      </c>
      <c r="M26" s="20"/>
      <c r="N26" s="20"/>
      <c r="O26" s="17"/>
      <c r="P26" s="24"/>
      <c r="Q26" s="24"/>
      <c r="R26" s="62">
        <f t="shared" si="13"/>
        <v>0</v>
      </c>
      <c r="S26" s="62">
        <f t="shared" si="14"/>
        <v>0</v>
      </c>
      <c r="T26" s="49"/>
    </row>
    <row r="27" spans="1:20" s="65" customFormat="1" x14ac:dyDescent="0.3">
      <c r="A27" s="52"/>
      <c r="B27" s="25" t="s">
        <v>93</v>
      </c>
      <c r="C27" s="63"/>
      <c r="D27" s="46"/>
      <c r="E27" s="26">
        <f>SUM(E22:E26)</f>
        <v>12102882.550000001</v>
      </c>
      <c r="F27" s="27">
        <f>SUM(F22:F26)</f>
        <v>2624212.6</v>
      </c>
      <c r="G27" s="28">
        <f>SUM(G22:G26)</f>
        <v>1784406.9700000002</v>
      </c>
      <c r="H27" s="28">
        <f>SUM(H22:H26)</f>
        <v>4073325.05</v>
      </c>
      <c r="I27" s="28">
        <f>SUM(I22:I26)</f>
        <v>2017459.6600000001</v>
      </c>
      <c r="J27" s="28">
        <f t="shared" ref="J27:K27" si="16">SUM(J22:J26)</f>
        <v>1603478.2700000003</v>
      </c>
      <c r="K27" s="28">
        <f t="shared" si="16"/>
        <v>0</v>
      </c>
      <c r="L27" s="29">
        <f t="shared" ref="L27:Q27" si="17">SUM(L22:L26)</f>
        <v>0</v>
      </c>
      <c r="M27" s="26">
        <f t="shared" si="17"/>
        <v>3159990</v>
      </c>
      <c r="N27" s="26">
        <f t="shared" si="17"/>
        <v>0</v>
      </c>
      <c r="O27" s="26">
        <f t="shared" si="17"/>
        <v>12102882.550000001</v>
      </c>
      <c r="P27" s="26">
        <f t="shared" si="17"/>
        <v>9909225.3099999987</v>
      </c>
      <c r="Q27" s="26">
        <f t="shared" si="17"/>
        <v>2193657.2400000002</v>
      </c>
      <c r="R27" s="64">
        <f>SUM(R22:R24)</f>
        <v>0</v>
      </c>
      <c r="S27" s="64">
        <f>SUM(S22:S24)</f>
        <v>2608888</v>
      </c>
      <c r="T27" s="26"/>
    </row>
    <row r="28" spans="1:20" s="38" customFormat="1" x14ac:dyDescent="0.3">
      <c r="A28" s="66"/>
      <c r="B28" s="30"/>
      <c r="C28" s="67"/>
      <c r="D28" s="47"/>
      <c r="E28" s="31"/>
      <c r="F28" s="32">
        <f>+F27/$E$27</f>
        <v>0.21682542065154553</v>
      </c>
      <c r="G28" s="33">
        <f t="shared" ref="G28:K28" si="18">+G27/$E$27</f>
        <v>0.14743652701149282</v>
      </c>
      <c r="H28" s="33">
        <f t="shared" si="18"/>
        <v>0.33655825652873078</v>
      </c>
      <c r="I28" s="33">
        <f t="shared" si="18"/>
        <v>0.16669249260788704</v>
      </c>
      <c r="J28" s="54">
        <f t="shared" si="18"/>
        <v>0.1324873032003438</v>
      </c>
      <c r="K28" s="33">
        <f t="shared" si="18"/>
        <v>0</v>
      </c>
      <c r="L28" s="34">
        <f>+L27/$E$11</f>
        <v>0</v>
      </c>
      <c r="M28" s="35">
        <f>+M27/E27</f>
        <v>0.26109399863588695</v>
      </c>
      <c r="N28" s="35">
        <f>+N27/E27</f>
        <v>0</v>
      </c>
      <c r="O28" s="35">
        <f>+O27/E27</f>
        <v>1</v>
      </c>
      <c r="P28" s="35">
        <f>+P27/E27</f>
        <v>0.81874919210878383</v>
      </c>
      <c r="Q28" s="35">
        <f>+Q27/E27</f>
        <v>0.18125080789121598</v>
      </c>
      <c r="R28" s="68"/>
      <c r="T28" s="35"/>
    </row>
    <row r="29" spans="1:20" s="38" customFormat="1" x14ac:dyDescent="0.3">
      <c r="B29" s="6" t="s">
        <v>94</v>
      </c>
      <c r="C29" s="69"/>
      <c r="D29" s="39"/>
      <c r="E29" s="80">
        <f>SUM(F29:K29)</f>
        <v>-9909225.3100000005</v>
      </c>
      <c r="F29" s="81">
        <f>-(F22-Q22)-F23-F25</f>
        <v>-1921474.6099999999</v>
      </c>
      <c r="G29" s="84">
        <f>-G22-G23-G25</f>
        <v>-1593741.31</v>
      </c>
      <c r="H29" s="84">
        <f>-H22-H23-H25</f>
        <v>-3651102.37</v>
      </c>
      <c r="I29" s="84">
        <f>-I22-I23-I25</f>
        <v>-1623978.71</v>
      </c>
      <c r="J29" s="84">
        <f>-J22-J23-J25</f>
        <v>-1118928.3100000003</v>
      </c>
      <c r="K29" s="81">
        <f>-K25</f>
        <v>0</v>
      </c>
      <c r="L29" s="37"/>
      <c r="M29" s="37"/>
      <c r="N29" s="37"/>
      <c r="O29" s="37"/>
      <c r="P29" s="37"/>
      <c r="Q29" s="37"/>
      <c r="R29" s="68"/>
      <c r="T29" s="37"/>
    </row>
    <row r="30" spans="1:20" s="38" customFormat="1" x14ac:dyDescent="0.3">
      <c r="B30" s="6" t="s">
        <v>95</v>
      </c>
      <c r="C30" s="69"/>
      <c r="D30" s="39"/>
      <c r="E30" s="80">
        <f t="shared" ref="E30:K30" si="19">E27+E29</f>
        <v>2193657.2400000002</v>
      </c>
      <c r="F30" s="80">
        <f t="shared" si="19"/>
        <v>702737.99000000022</v>
      </c>
      <c r="G30" s="80">
        <f t="shared" si="19"/>
        <v>190665.66000000015</v>
      </c>
      <c r="H30" s="80">
        <f t="shared" si="19"/>
        <v>422222.6799999997</v>
      </c>
      <c r="I30" s="80">
        <f t="shared" si="19"/>
        <v>393480.95000000019</v>
      </c>
      <c r="J30" s="80">
        <f t="shared" si="19"/>
        <v>484549.95999999996</v>
      </c>
      <c r="K30" s="80">
        <f t="shared" si="19"/>
        <v>0</v>
      </c>
      <c r="L30" s="37"/>
      <c r="M30" s="37"/>
      <c r="N30" s="37"/>
      <c r="O30" s="37"/>
      <c r="P30" s="37"/>
      <c r="Q30" s="37"/>
      <c r="R30" s="68"/>
      <c r="T30" s="37"/>
    </row>
    <row r="31" spans="1:20" s="38" customFormat="1" x14ac:dyDescent="0.3">
      <c r="B31" s="69" t="s">
        <v>101</v>
      </c>
      <c r="C31" s="69"/>
      <c r="D31" s="69"/>
      <c r="E31" s="36"/>
      <c r="F31" s="37"/>
      <c r="G31" s="37"/>
      <c r="H31" s="37"/>
      <c r="I31" s="37"/>
      <c r="J31" s="55"/>
      <c r="K31" s="37"/>
      <c r="L31" s="37"/>
      <c r="M31" s="37"/>
      <c r="N31" s="37"/>
      <c r="O31" s="37"/>
      <c r="P31" s="37"/>
      <c r="Q31" s="37"/>
      <c r="R31" s="68"/>
    </row>
    <row r="32" spans="1:20" s="38" customFormat="1" x14ac:dyDescent="0.3">
      <c r="B32" s="138" t="s">
        <v>65</v>
      </c>
      <c r="C32" s="140" t="s">
        <v>66</v>
      </c>
      <c r="D32" s="138" t="s">
        <v>67</v>
      </c>
      <c r="E32" s="138" t="s">
        <v>68</v>
      </c>
      <c r="F32" s="37"/>
      <c r="G32" s="37"/>
      <c r="H32" s="37"/>
      <c r="I32" s="37"/>
      <c r="J32" s="55"/>
      <c r="K32" s="37"/>
      <c r="L32" s="37"/>
      <c r="M32" s="37"/>
      <c r="N32" s="37"/>
      <c r="O32" s="37"/>
      <c r="P32" s="37"/>
      <c r="Q32" s="37"/>
      <c r="R32" s="68"/>
    </row>
    <row r="33" spans="2:18" s="38" customFormat="1" x14ac:dyDescent="0.3">
      <c r="B33" s="139"/>
      <c r="C33" s="141"/>
      <c r="D33" s="139"/>
      <c r="E33" s="139"/>
      <c r="F33" s="37"/>
      <c r="G33" s="37"/>
      <c r="H33" s="37"/>
      <c r="I33" s="37"/>
      <c r="J33" s="55"/>
      <c r="K33" s="37"/>
      <c r="L33" s="37"/>
      <c r="M33" s="37"/>
      <c r="N33" s="37"/>
      <c r="O33" s="37"/>
      <c r="P33" s="37"/>
      <c r="Q33" s="37"/>
      <c r="R33" s="68"/>
    </row>
    <row r="34" spans="2:18" s="38" customFormat="1" x14ac:dyDescent="0.3">
      <c r="B34" s="11" t="s">
        <v>38</v>
      </c>
      <c r="C34" s="41" t="s">
        <v>87</v>
      </c>
      <c r="D34" s="70"/>
      <c r="E34" s="71">
        <v>1628630.74</v>
      </c>
      <c r="F34" s="37"/>
      <c r="G34" s="37"/>
      <c r="H34" s="37"/>
      <c r="I34" s="37"/>
      <c r="J34" s="55"/>
      <c r="K34" s="37"/>
      <c r="L34" s="37"/>
      <c r="M34" s="37"/>
      <c r="N34" s="37"/>
      <c r="O34" s="37"/>
      <c r="P34" s="37"/>
      <c r="Q34" s="37"/>
      <c r="R34" s="68"/>
    </row>
    <row r="35" spans="2:18" s="38" customFormat="1" x14ac:dyDescent="0.3">
      <c r="B35" s="25" t="s">
        <v>93</v>
      </c>
      <c r="C35" s="63"/>
      <c r="D35" s="43"/>
      <c r="E35" s="42">
        <f>SUM(E34:E34)</f>
        <v>1628630.74</v>
      </c>
      <c r="H35" s="37"/>
      <c r="I35" s="37"/>
      <c r="J35" s="55"/>
      <c r="K35" s="37"/>
      <c r="L35" s="37"/>
      <c r="M35" s="37"/>
      <c r="N35" s="37"/>
      <c r="O35" s="37"/>
      <c r="P35" s="37"/>
      <c r="Q35" s="37"/>
      <c r="R35" s="68"/>
    </row>
    <row r="36" spans="2:18" x14ac:dyDescent="0.3">
      <c r="B36" s="6"/>
      <c r="D36" s="39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</row>
    <row r="37" spans="2:18" x14ac:dyDescent="0.3">
      <c r="B37" s="6" t="s">
        <v>102</v>
      </c>
      <c r="E37" s="40">
        <f>+E13-E35</f>
        <v>-580098.98372699996</v>
      </c>
    </row>
    <row r="39" spans="2:18" x14ac:dyDescent="0.3">
      <c r="D39" s="72"/>
    </row>
    <row r="40" spans="2:18" x14ac:dyDescent="0.3">
      <c r="E40" s="73"/>
      <c r="F40" s="74"/>
      <c r="G40" s="74"/>
      <c r="H40" s="74"/>
      <c r="I40" s="74"/>
      <c r="J40" s="75"/>
      <c r="K40" s="74"/>
      <c r="L40" s="74"/>
      <c r="M40" s="74"/>
      <c r="N40" s="74"/>
      <c r="O40" s="74"/>
      <c r="P40" s="74"/>
      <c r="Q40" s="74"/>
      <c r="R40" s="76"/>
    </row>
    <row r="41" spans="2:18" x14ac:dyDescent="0.3">
      <c r="E41" s="73"/>
      <c r="F41" s="74"/>
      <c r="G41" s="74"/>
      <c r="H41" s="74"/>
      <c r="I41" s="74"/>
      <c r="J41" s="75"/>
      <c r="K41" s="74"/>
      <c r="L41" s="74"/>
      <c r="M41" s="74"/>
      <c r="N41" s="74"/>
      <c r="O41" s="74"/>
      <c r="P41" s="74"/>
      <c r="Q41" s="74"/>
      <c r="R41" s="76"/>
    </row>
    <row r="42" spans="2:18" x14ac:dyDescent="0.3">
      <c r="E42" s="73"/>
      <c r="F42" s="74"/>
      <c r="G42" s="74"/>
      <c r="H42" s="74"/>
      <c r="I42" s="74"/>
      <c r="J42" s="75"/>
      <c r="K42" s="74"/>
      <c r="L42" s="74"/>
      <c r="M42" s="74"/>
      <c r="N42" s="74"/>
      <c r="O42" s="74"/>
      <c r="P42" s="74"/>
      <c r="Q42" s="74"/>
      <c r="R42" s="76"/>
    </row>
    <row r="43" spans="2:18" x14ac:dyDescent="0.3">
      <c r="E43" s="77"/>
      <c r="F43" s="74"/>
      <c r="G43" s="74"/>
      <c r="H43" s="74"/>
      <c r="I43" s="74"/>
      <c r="J43" s="75"/>
      <c r="K43" s="74"/>
      <c r="L43" s="74"/>
      <c r="M43" s="74"/>
      <c r="N43" s="74"/>
      <c r="O43" s="74"/>
      <c r="P43" s="74"/>
      <c r="Q43" s="74"/>
      <c r="R43" s="76"/>
    </row>
  </sheetData>
  <mergeCells count="30">
    <mergeCell ref="T20:T21"/>
    <mergeCell ref="O20:O21"/>
    <mergeCell ref="P20:P21"/>
    <mergeCell ref="Q20:Q21"/>
    <mergeCell ref="R20:R21"/>
    <mergeCell ref="S20:S21"/>
    <mergeCell ref="A20:A21"/>
    <mergeCell ref="B20:B21"/>
    <mergeCell ref="C20:C21"/>
    <mergeCell ref="D20:D21"/>
    <mergeCell ref="E20:E21"/>
    <mergeCell ref="B32:B33"/>
    <mergeCell ref="C32:C33"/>
    <mergeCell ref="E32:E33"/>
    <mergeCell ref="D32:D33"/>
    <mergeCell ref="M4:N4"/>
    <mergeCell ref="F4:L4"/>
    <mergeCell ref="F20:L20"/>
    <mergeCell ref="M20:N20"/>
    <mergeCell ref="T4:T5"/>
    <mergeCell ref="A4:A5"/>
    <mergeCell ref="B4:B5"/>
    <mergeCell ref="C4:C5"/>
    <mergeCell ref="D4:D5"/>
    <mergeCell ref="E4:E5"/>
    <mergeCell ref="O4:O5"/>
    <mergeCell ref="P4:P5"/>
    <mergeCell ref="Q4:Q5"/>
    <mergeCell ref="R4:R5"/>
    <mergeCell ref="S4:S5"/>
  </mergeCells>
  <printOptions horizontalCentered="1" verticalCentered="1" gridLines="1"/>
  <pageMargins left="0" right="0" top="3.937007874015748E-2" bottom="0" header="3.937007874015748E-2" footer="0"/>
  <pageSetup paperSize="9" scale="94" fitToHeight="0" orientation="landscape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41D25-F13D-4CFC-A7FA-0F9E552A7CC3}">
  <sheetPr>
    <pageSetUpPr fitToPage="1"/>
  </sheetPr>
  <dimension ref="A1:AA69"/>
  <sheetViews>
    <sheetView tabSelected="1" zoomScale="67" zoomScaleNormal="67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12" sqref="B12"/>
    </sheetView>
  </sheetViews>
  <sheetFormatPr defaultColWidth="8.88671875" defaultRowHeight="14.4" x14ac:dyDescent="0.3"/>
  <cols>
    <col min="1" max="1" width="4.88671875" style="57" customWidth="1"/>
    <col min="2" max="2" width="41.5546875" style="56" bestFit="1" customWidth="1"/>
    <col min="3" max="3" width="10" style="56" customWidth="1"/>
    <col min="4" max="4" width="9.109375" style="56" bestFit="1" customWidth="1"/>
    <col min="5" max="5" width="12.33203125" style="57" bestFit="1" customWidth="1"/>
    <col min="6" max="6" width="11.5546875" style="57" bestFit="1" customWidth="1"/>
    <col min="7" max="7" width="11.88671875" style="57" bestFit="1" customWidth="1"/>
    <col min="8" max="8" width="8.88671875" style="57" bestFit="1" customWidth="1"/>
    <col min="9" max="10" width="9" style="57" bestFit="1" customWidth="1"/>
    <col min="11" max="11" width="8.88671875" style="57" bestFit="1" customWidth="1"/>
    <col min="12" max="12" width="12.33203125" style="57" customWidth="1"/>
    <col min="13" max="13" width="11.44140625" style="57" bestFit="1" customWidth="1"/>
    <col min="14" max="14" width="9.109375" style="57" customWidth="1"/>
    <col min="15" max="15" width="11.5546875" style="57" bestFit="1" customWidth="1"/>
    <col min="16" max="16" width="11.44140625" style="57" customWidth="1"/>
    <col min="17" max="17" width="11.5546875" style="57" bestFit="1" customWidth="1"/>
    <col min="18" max="18" width="9.44140625" style="57" customWidth="1"/>
    <col min="19" max="19" width="10.33203125" style="57" customWidth="1"/>
    <col min="20" max="20" width="15" style="57" customWidth="1"/>
    <col min="21" max="21" width="10.44140625" style="57" bestFit="1" customWidth="1"/>
    <col min="22" max="16384" width="8.88671875" style="57"/>
  </cols>
  <sheetData>
    <row r="1" spans="1:27" x14ac:dyDescent="0.3">
      <c r="A1" s="6" t="s">
        <v>132</v>
      </c>
      <c r="F1" s="85"/>
      <c r="G1" s="85"/>
      <c r="H1" s="85"/>
      <c r="I1" s="85"/>
      <c r="J1" s="85"/>
      <c r="K1" s="85"/>
      <c r="L1" s="86"/>
      <c r="M1" s="86"/>
      <c r="N1" s="86"/>
      <c r="O1" s="86"/>
    </row>
    <row r="2" spans="1:27" x14ac:dyDescent="0.3">
      <c r="A2" s="6" t="s">
        <v>130</v>
      </c>
      <c r="E2" s="80">
        <f>3141307-E23</f>
        <v>69410.113999999594</v>
      </c>
      <c r="F2" s="85"/>
      <c r="G2" s="85"/>
      <c r="H2" s="85"/>
      <c r="I2" s="85"/>
      <c r="J2" s="85"/>
      <c r="K2" s="85"/>
      <c r="L2" s="86"/>
      <c r="M2" s="86"/>
      <c r="N2" s="86"/>
      <c r="O2" s="86"/>
    </row>
    <row r="3" spans="1:27" x14ac:dyDescent="0.3">
      <c r="F3" s="86"/>
      <c r="G3" s="86"/>
      <c r="H3" s="86"/>
      <c r="I3" s="86"/>
      <c r="J3" s="86"/>
      <c r="K3" s="86"/>
      <c r="L3" s="86"/>
      <c r="M3" s="86"/>
      <c r="N3" s="86"/>
      <c r="O3" s="86"/>
    </row>
    <row r="4" spans="1:27" x14ac:dyDescent="0.3">
      <c r="A4" s="136" t="s">
        <v>64</v>
      </c>
      <c r="B4" s="138" t="s">
        <v>65</v>
      </c>
      <c r="C4" s="145" t="s">
        <v>66</v>
      </c>
      <c r="D4" s="140" t="s">
        <v>67</v>
      </c>
      <c r="E4" s="138" t="s">
        <v>68</v>
      </c>
      <c r="F4" s="142" t="s">
        <v>69</v>
      </c>
      <c r="G4" s="144"/>
      <c r="H4" s="144"/>
      <c r="I4" s="144"/>
      <c r="J4" s="144"/>
      <c r="K4" s="144"/>
      <c r="L4" s="143"/>
      <c r="M4" s="142" t="s">
        <v>70</v>
      </c>
      <c r="N4" s="143"/>
      <c r="O4" s="140" t="s">
        <v>71</v>
      </c>
      <c r="P4" s="136" t="s">
        <v>72</v>
      </c>
      <c r="Q4" s="134" t="s">
        <v>73</v>
      </c>
      <c r="R4" s="136" t="s">
        <v>74</v>
      </c>
      <c r="S4" s="136" t="s">
        <v>75</v>
      </c>
      <c r="T4" s="134" t="s">
        <v>103</v>
      </c>
    </row>
    <row r="5" spans="1:27" s="38" customFormat="1" x14ac:dyDescent="0.3">
      <c r="A5" s="137"/>
      <c r="B5" s="139"/>
      <c r="C5" s="146"/>
      <c r="D5" s="141"/>
      <c r="E5" s="139"/>
      <c r="F5" s="7" t="s">
        <v>77</v>
      </c>
      <c r="G5" s="8" t="s">
        <v>78</v>
      </c>
      <c r="H5" s="8" t="s">
        <v>79</v>
      </c>
      <c r="I5" s="8" t="s">
        <v>80</v>
      </c>
      <c r="J5" s="8" t="s">
        <v>81</v>
      </c>
      <c r="K5" s="8" t="s">
        <v>82</v>
      </c>
      <c r="L5" s="9" t="s">
        <v>83</v>
      </c>
      <c r="M5" s="10" t="s">
        <v>84</v>
      </c>
      <c r="N5" s="10" t="s">
        <v>85</v>
      </c>
      <c r="O5" s="141"/>
      <c r="P5" s="137"/>
      <c r="Q5" s="135"/>
      <c r="R5" s="137"/>
      <c r="S5" s="137"/>
      <c r="T5" s="135"/>
      <c r="U5" s="7" t="s">
        <v>77</v>
      </c>
      <c r="V5" s="8" t="s">
        <v>78</v>
      </c>
      <c r="W5" s="8" t="s">
        <v>79</v>
      </c>
      <c r="X5" s="8" t="s">
        <v>80</v>
      </c>
      <c r="Y5" s="8" t="s">
        <v>81</v>
      </c>
      <c r="Z5" s="8" t="s">
        <v>82</v>
      </c>
      <c r="AA5" s="9" t="s">
        <v>83</v>
      </c>
    </row>
    <row r="6" spans="1:27" x14ac:dyDescent="0.3">
      <c r="A6" s="50">
        <v>1</v>
      </c>
      <c r="B6" s="11" t="s">
        <v>122</v>
      </c>
      <c r="C6" s="60" t="s">
        <v>87</v>
      </c>
      <c r="D6" s="44">
        <f t="shared" ref="D6:D21" si="0">E6/$E$23</f>
        <v>0.36080092541556741</v>
      </c>
      <c r="E6" s="12">
        <f>125992.0168+819040.95+163310.27245</f>
        <v>1108343.2392499999</v>
      </c>
      <c r="F6" s="131">
        <v>1108343.2392499999</v>
      </c>
      <c r="G6" s="17">
        <v>0</v>
      </c>
      <c r="H6" s="17">
        <v>0</v>
      </c>
      <c r="I6" s="22">
        <v>0</v>
      </c>
      <c r="J6" s="22">
        <v>0</v>
      </c>
      <c r="K6" s="22">
        <v>0</v>
      </c>
      <c r="L6" s="16">
        <v>0</v>
      </c>
      <c r="M6" s="12">
        <f t="shared" ref="M6:M21" si="1">IF(C6="UAE",E6,0)</f>
        <v>1108343.2392499999</v>
      </c>
      <c r="N6" s="12">
        <f t="shared" ref="N6:N21" si="2">IF(M6&gt;0,0,E6)</f>
        <v>0</v>
      </c>
      <c r="O6" s="17">
        <f t="shared" ref="O6:O22" si="3">IF(E6&gt;10%*$E$23,E6,0)</f>
        <v>1108343.2392499999</v>
      </c>
      <c r="P6" s="18">
        <v>163310.26999999999</v>
      </c>
      <c r="Q6" s="24">
        <f t="shared" ref="Q6:Q21" si="4">+E6-P6</f>
        <v>945032.96924999985</v>
      </c>
      <c r="R6" s="61">
        <f>+IF(N6&gt;0,P6,0)</f>
        <v>0</v>
      </c>
      <c r="S6" s="61">
        <f>+IF(M6&gt;0,P6,0)</f>
        <v>163310.26999999999</v>
      </c>
      <c r="T6" s="109"/>
      <c r="U6" s="76">
        <f>P6</f>
        <v>163310.26999999999</v>
      </c>
      <c r="V6" s="76">
        <f t="shared" ref="V6:V21" si="5">IF($P6&gt;0,G6,0)</f>
        <v>0</v>
      </c>
      <c r="W6" s="76">
        <f t="shared" ref="W6:W21" si="6">IF($P6&gt;0,H6,0)</f>
        <v>0</v>
      </c>
      <c r="X6" s="76">
        <f t="shared" ref="X6:X21" si="7">IF($P6&gt;0,I6,0)</f>
        <v>0</v>
      </c>
      <c r="Y6" s="76">
        <f t="shared" ref="Y6:Y21" si="8">IF($P6&gt;0,J6,0)</f>
        <v>0</v>
      </c>
      <c r="Z6" s="76">
        <f t="shared" ref="Z6:Z21" si="9">IF($P6&gt;0,K6,0)</f>
        <v>0</v>
      </c>
      <c r="AA6" s="76">
        <f t="shared" ref="AA6:AA21" si="10">IF($P6&gt;0,L6,0)</f>
        <v>0</v>
      </c>
    </row>
    <row r="7" spans="1:27" x14ac:dyDescent="0.3">
      <c r="A7" s="51">
        <f>MAX($A$6:A6)+1</f>
        <v>2</v>
      </c>
      <c r="B7" s="19" t="s">
        <v>44</v>
      </c>
      <c r="C7" s="60" t="s">
        <v>87</v>
      </c>
      <c r="D7" s="45">
        <f t="shared" si="0"/>
        <v>0.15755978080053298</v>
      </c>
      <c r="E7" s="20">
        <f>38565.43+445441.97</f>
        <v>484007.39999999997</v>
      </c>
      <c r="F7" s="21">
        <v>0</v>
      </c>
      <c r="G7" s="17">
        <v>0</v>
      </c>
      <c r="H7" s="22">
        <v>484007.39999999997</v>
      </c>
      <c r="I7" s="22">
        <v>0</v>
      </c>
      <c r="J7" s="22">
        <v>0</v>
      </c>
      <c r="K7" s="22">
        <v>0</v>
      </c>
      <c r="L7" s="23">
        <v>0</v>
      </c>
      <c r="M7" s="20">
        <f t="shared" si="1"/>
        <v>484007.39999999997</v>
      </c>
      <c r="N7" s="20">
        <f t="shared" si="2"/>
        <v>0</v>
      </c>
      <c r="O7" s="17">
        <f t="shared" si="3"/>
        <v>484007.39999999997</v>
      </c>
      <c r="P7" s="24">
        <f>E7</f>
        <v>484007.39999999997</v>
      </c>
      <c r="Q7" s="24">
        <f t="shared" si="4"/>
        <v>0</v>
      </c>
      <c r="R7" s="62">
        <f>+IF(N7&gt;0,P7,0)</f>
        <v>0</v>
      </c>
      <c r="S7" s="62">
        <f>+IF(M7&gt;0,P7,0)</f>
        <v>484007.39999999997</v>
      </c>
      <c r="T7" s="78"/>
      <c r="U7" s="76">
        <f t="shared" ref="U7:U21" si="11">IF($P7&gt;0,F7,0)</f>
        <v>0</v>
      </c>
      <c r="V7" s="76">
        <f t="shared" si="5"/>
        <v>0</v>
      </c>
      <c r="W7" s="76">
        <f t="shared" si="6"/>
        <v>484007.39999999997</v>
      </c>
      <c r="X7" s="76">
        <f t="shared" si="7"/>
        <v>0</v>
      </c>
      <c r="Y7" s="76">
        <f t="shared" si="8"/>
        <v>0</v>
      </c>
      <c r="Z7" s="76">
        <f t="shared" si="9"/>
        <v>0</v>
      </c>
      <c r="AA7" s="76">
        <f t="shared" si="10"/>
        <v>0</v>
      </c>
    </row>
    <row r="8" spans="1:27" x14ac:dyDescent="0.3">
      <c r="A8" s="51">
        <f>MAX($A$6:A7)+1</f>
        <v>3</v>
      </c>
      <c r="B8" s="19" t="s">
        <v>127</v>
      </c>
      <c r="C8" s="60" t="s">
        <v>87</v>
      </c>
      <c r="D8" s="45">
        <f t="shared" si="0"/>
        <v>8.822186260063157E-2</v>
      </c>
      <c r="E8" s="20">
        <v>271008.46500000003</v>
      </c>
      <c r="F8" s="21">
        <v>0</v>
      </c>
      <c r="G8" s="17">
        <v>0</v>
      </c>
      <c r="H8" s="17">
        <v>0</v>
      </c>
      <c r="I8" s="22">
        <v>0</v>
      </c>
      <c r="J8" s="22">
        <v>0</v>
      </c>
      <c r="K8" s="22">
        <v>0</v>
      </c>
      <c r="L8" s="23">
        <v>271008.46500000003</v>
      </c>
      <c r="M8" s="20">
        <f t="shared" si="1"/>
        <v>271008.46500000003</v>
      </c>
      <c r="N8" s="20">
        <f t="shared" si="2"/>
        <v>0</v>
      </c>
      <c r="O8" s="17">
        <f t="shared" si="3"/>
        <v>0</v>
      </c>
      <c r="P8" s="24">
        <f>L8</f>
        <v>271008.46500000003</v>
      </c>
      <c r="Q8" s="24">
        <f t="shared" si="4"/>
        <v>0</v>
      </c>
      <c r="R8" s="62"/>
      <c r="S8" s="62"/>
      <c r="T8" s="78"/>
      <c r="U8" s="76">
        <f t="shared" si="11"/>
        <v>0</v>
      </c>
      <c r="V8" s="76">
        <f t="shared" si="5"/>
        <v>0</v>
      </c>
      <c r="W8" s="76">
        <f t="shared" si="6"/>
        <v>0</v>
      </c>
      <c r="X8" s="76">
        <f t="shared" si="7"/>
        <v>0</v>
      </c>
      <c r="Y8" s="76">
        <f t="shared" si="8"/>
        <v>0</v>
      </c>
      <c r="Z8" s="76">
        <f t="shared" si="9"/>
        <v>0</v>
      </c>
      <c r="AA8" s="76">
        <f t="shared" si="10"/>
        <v>271008.46500000003</v>
      </c>
    </row>
    <row r="9" spans="1:27" x14ac:dyDescent="0.3">
      <c r="A9" s="51">
        <f>MAX($A$6:A8)+1</f>
        <v>4</v>
      </c>
      <c r="B9" s="19" t="s">
        <v>121</v>
      </c>
      <c r="C9" s="60" t="s">
        <v>87</v>
      </c>
      <c r="D9" s="45">
        <f t="shared" si="0"/>
        <v>6.9576843700085045E-2</v>
      </c>
      <c r="E9" s="20">
        <v>213732.88949999999</v>
      </c>
      <c r="F9" s="21">
        <v>0</v>
      </c>
      <c r="G9" s="17">
        <v>0</v>
      </c>
      <c r="H9" s="17">
        <v>0</v>
      </c>
      <c r="I9" s="22">
        <v>0</v>
      </c>
      <c r="J9" s="22">
        <v>0</v>
      </c>
      <c r="K9" s="22">
        <v>0</v>
      </c>
      <c r="L9" s="23">
        <v>213732.88949999999</v>
      </c>
      <c r="M9" s="20">
        <f t="shared" si="1"/>
        <v>213732.88949999999</v>
      </c>
      <c r="N9" s="20">
        <f t="shared" si="2"/>
        <v>0</v>
      </c>
      <c r="O9" s="17">
        <f t="shared" si="3"/>
        <v>0</v>
      </c>
      <c r="P9" s="24">
        <v>0</v>
      </c>
      <c r="Q9" s="24">
        <f t="shared" si="4"/>
        <v>213732.88949999999</v>
      </c>
      <c r="R9" s="62">
        <f>+IF(N9&gt;0,P9,0)</f>
        <v>0</v>
      </c>
      <c r="S9" s="62">
        <f>+IF(M9&gt;0,P9,0)</f>
        <v>0</v>
      </c>
      <c r="T9" s="78"/>
      <c r="U9" s="76">
        <f t="shared" si="11"/>
        <v>0</v>
      </c>
      <c r="V9" s="76">
        <f t="shared" si="5"/>
        <v>0</v>
      </c>
      <c r="W9" s="76">
        <f t="shared" si="6"/>
        <v>0</v>
      </c>
      <c r="X9" s="76">
        <f t="shared" si="7"/>
        <v>0</v>
      </c>
      <c r="Y9" s="76">
        <f t="shared" si="8"/>
        <v>0</v>
      </c>
      <c r="Z9" s="76">
        <f t="shared" si="9"/>
        <v>0</v>
      </c>
      <c r="AA9" s="76">
        <f t="shared" si="10"/>
        <v>0</v>
      </c>
    </row>
    <row r="10" spans="1:27" x14ac:dyDescent="0.3">
      <c r="A10" s="51">
        <f>MAX($A$6:A9)+1</f>
        <v>5</v>
      </c>
      <c r="B10" s="19" t="s">
        <v>119</v>
      </c>
      <c r="C10" s="60" t="s">
        <v>87</v>
      </c>
      <c r="D10" s="45">
        <f t="shared" si="0"/>
        <v>6.7120418230730935E-2</v>
      </c>
      <c r="E10" s="20">
        <v>206187.00375</v>
      </c>
      <c r="F10" s="21">
        <v>0</v>
      </c>
      <c r="G10" s="22">
        <v>206187.00375</v>
      </c>
      <c r="H10" s="17">
        <v>0</v>
      </c>
      <c r="I10" s="22">
        <v>0</v>
      </c>
      <c r="J10" s="22">
        <v>0</v>
      </c>
      <c r="K10" s="22">
        <v>0</v>
      </c>
      <c r="L10" s="23">
        <v>0</v>
      </c>
      <c r="M10" s="20">
        <f t="shared" si="1"/>
        <v>206187.00375</v>
      </c>
      <c r="N10" s="20">
        <f t="shared" si="2"/>
        <v>0</v>
      </c>
      <c r="O10" s="17">
        <f t="shared" si="3"/>
        <v>0</v>
      </c>
      <c r="P10" s="24">
        <f>E10</f>
        <v>206187.00375</v>
      </c>
      <c r="Q10" s="24">
        <f t="shared" si="4"/>
        <v>0</v>
      </c>
      <c r="R10" s="62">
        <f>+IF(N10&gt;0,P10,0)</f>
        <v>0</v>
      </c>
      <c r="S10" s="62">
        <f>+IF(M10&gt;0,P10,0)</f>
        <v>206187.00375</v>
      </c>
      <c r="T10" s="78"/>
      <c r="U10" s="76">
        <f t="shared" si="11"/>
        <v>0</v>
      </c>
      <c r="V10" s="76">
        <f t="shared" si="5"/>
        <v>206187.00375</v>
      </c>
      <c r="W10" s="76">
        <f t="shared" si="6"/>
        <v>0</v>
      </c>
      <c r="X10" s="76">
        <f t="shared" si="7"/>
        <v>0</v>
      </c>
      <c r="Y10" s="76">
        <f t="shared" si="8"/>
        <v>0</v>
      </c>
      <c r="Z10" s="76">
        <f t="shared" si="9"/>
        <v>0</v>
      </c>
      <c r="AA10" s="76">
        <f t="shared" si="10"/>
        <v>0</v>
      </c>
    </row>
    <row r="11" spans="1:27" x14ac:dyDescent="0.3">
      <c r="A11" s="51">
        <f>MAX($A$6:A10)+1</f>
        <v>6</v>
      </c>
      <c r="B11" s="19" t="s">
        <v>125</v>
      </c>
      <c r="C11" s="60" t="s">
        <v>87</v>
      </c>
      <c r="D11" s="45">
        <f t="shared" si="0"/>
        <v>5.6800669618895523E-2</v>
      </c>
      <c r="E11" s="20">
        <f>148618.913625+25866.8865</f>
        <v>174485.80012499998</v>
      </c>
      <c r="F11" s="21">
        <v>0</v>
      </c>
      <c r="G11" s="17">
        <v>0</v>
      </c>
      <c r="H11" s="17">
        <v>0</v>
      </c>
      <c r="I11" s="22">
        <v>0</v>
      </c>
      <c r="J11" s="22">
        <v>0</v>
      </c>
      <c r="K11" s="22">
        <f>E11</f>
        <v>174485.80012499998</v>
      </c>
      <c r="L11" s="23">
        <v>0</v>
      </c>
      <c r="M11" s="20">
        <f t="shared" si="1"/>
        <v>174485.80012499998</v>
      </c>
      <c r="N11" s="20">
        <f t="shared" si="2"/>
        <v>0</v>
      </c>
      <c r="O11" s="17">
        <f t="shared" si="3"/>
        <v>0</v>
      </c>
      <c r="P11" s="24">
        <v>0</v>
      </c>
      <c r="Q11" s="24">
        <f t="shared" si="4"/>
        <v>174485.80012499998</v>
      </c>
      <c r="R11" s="62"/>
      <c r="S11" s="62"/>
      <c r="T11" s="78"/>
      <c r="U11" s="76">
        <f t="shared" si="11"/>
        <v>0</v>
      </c>
      <c r="V11" s="76">
        <f t="shared" si="5"/>
        <v>0</v>
      </c>
      <c r="W11" s="76">
        <f t="shared" si="6"/>
        <v>0</v>
      </c>
      <c r="X11" s="76">
        <f t="shared" si="7"/>
        <v>0</v>
      </c>
      <c r="Y11" s="76">
        <f t="shared" si="8"/>
        <v>0</v>
      </c>
      <c r="Z11" s="76">
        <f t="shared" si="9"/>
        <v>0</v>
      </c>
      <c r="AA11" s="76">
        <f t="shared" si="10"/>
        <v>0</v>
      </c>
    </row>
    <row r="12" spans="1:27" x14ac:dyDescent="0.3">
      <c r="A12" s="51">
        <f>MAX($A$6:A11)+1</f>
        <v>7</v>
      </c>
      <c r="B12" s="19" t="s">
        <v>123</v>
      </c>
      <c r="C12" s="60" t="s">
        <v>129</v>
      </c>
      <c r="D12" s="45">
        <f t="shared" si="0"/>
        <v>4.6684875932388306E-2</v>
      </c>
      <c r="E12" s="20">
        <v>143411.125</v>
      </c>
      <c r="F12" s="21">
        <v>0</v>
      </c>
      <c r="G12" s="17">
        <v>0</v>
      </c>
      <c r="H12" s="17">
        <v>0</v>
      </c>
      <c r="I12" s="22">
        <v>143411.125</v>
      </c>
      <c r="J12" s="22">
        <v>0</v>
      </c>
      <c r="K12" s="22">
        <v>0</v>
      </c>
      <c r="L12" s="23">
        <v>0</v>
      </c>
      <c r="M12" s="20">
        <f t="shared" si="1"/>
        <v>0</v>
      </c>
      <c r="N12" s="20">
        <f t="shared" si="2"/>
        <v>143411.125</v>
      </c>
      <c r="O12" s="17">
        <f t="shared" si="3"/>
        <v>0</v>
      </c>
      <c r="P12" s="24">
        <v>0</v>
      </c>
      <c r="Q12" s="24">
        <f t="shared" si="4"/>
        <v>143411.125</v>
      </c>
      <c r="R12" s="62">
        <f>+IF(N12&gt;0,P12,0)</f>
        <v>0</v>
      </c>
      <c r="S12" s="62">
        <f>+IF(M12&gt;0,P12,0)</f>
        <v>0</v>
      </c>
      <c r="T12" s="78"/>
      <c r="U12" s="76">
        <f t="shared" si="11"/>
        <v>0</v>
      </c>
      <c r="V12" s="76">
        <f t="shared" si="5"/>
        <v>0</v>
      </c>
      <c r="W12" s="76">
        <f t="shared" si="6"/>
        <v>0</v>
      </c>
      <c r="X12" s="76">
        <f t="shared" si="7"/>
        <v>0</v>
      </c>
      <c r="Y12" s="76">
        <f t="shared" si="8"/>
        <v>0</v>
      </c>
      <c r="Z12" s="76">
        <f t="shared" si="9"/>
        <v>0</v>
      </c>
      <c r="AA12" s="76">
        <f t="shared" si="10"/>
        <v>0</v>
      </c>
    </row>
    <row r="13" spans="1:27" x14ac:dyDescent="0.3">
      <c r="A13" s="51">
        <f>MAX($A$6:A12)+1</f>
        <v>8</v>
      </c>
      <c r="B13" s="19" t="s">
        <v>105</v>
      </c>
      <c r="C13" s="60" t="s">
        <v>87</v>
      </c>
      <c r="D13" s="45">
        <f t="shared" si="0"/>
        <v>3.1088540824804233E-2</v>
      </c>
      <c r="E13" s="20">
        <f>47044.725+48456.06675</f>
        <v>95500.791750000004</v>
      </c>
      <c r="F13" s="21">
        <v>0</v>
      </c>
      <c r="G13" s="17">
        <v>0</v>
      </c>
      <c r="H13" s="17">
        <v>0</v>
      </c>
      <c r="I13" s="22">
        <v>0</v>
      </c>
      <c r="J13" s="22">
        <v>0</v>
      </c>
      <c r="K13" s="22">
        <v>48456.066749999998</v>
      </c>
      <c r="L13" s="23">
        <v>47044.724999999999</v>
      </c>
      <c r="M13" s="20">
        <f t="shared" si="1"/>
        <v>95500.791750000004</v>
      </c>
      <c r="N13" s="20">
        <f t="shared" si="2"/>
        <v>0</v>
      </c>
      <c r="O13" s="17">
        <f t="shared" si="3"/>
        <v>0</v>
      </c>
      <c r="P13" s="24">
        <f>E13</f>
        <v>95500.791750000004</v>
      </c>
      <c r="Q13" s="24">
        <f t="shared" si="4"/>
        <v>0</v>
      </c>
      <c r="R13" s="62">
        <f>+IF(N13&gt;0,P13,0)</f>
        <v>0</v>
      </c>
      <c r="S13" s="62">
        <f>+IF(M13&gt;0,P13,0)</f>
        <v>95500.791750000004</v>
      </c>
      <c r="T13" s="78"/>
      <c r="U13" s="76">
        <f t="shared" si="11"/>
        <v>0</v>
      </c>
      <c r="V13" s="76">
        <f t="shared" si="5"/>
        <v>0</v>
      </c>
      <c r="W13" s="76">
        <f t="shared" si="6"/>
        <v>0</v>
      </c>
      <c r="X13" s="76">
        <f t="shared" si="7"/>
        <v>0</v>
      </c>
      <c r="Y13" s="76">
        <f t="shared" si="8"/>
        <v>0</v>
      </c>
      <c r="Z13" s="76">
        <f t="shared" si="9"/>
        <v>48456.066749999998</v>
      </c>
      <c r="AA13" s="76">
        <f t="shared" si="10"/>
        <v>47044.724999999999</v>
      </c>
    </row>
    <row r="14" spans="1:27" x14ac:dyDescent="0.3">
      <c r="A14" s="51">
        <f>MAX($A$6:A13)+1</f>
        <v>9</v>
      </c>
      <c r="B14" s="19" t="s">
        <v>106</v>
      </c>
      <c r="C14" s="60" t="s">
        <v>87</v>
      </c>
      <c r="D14" s="45">
        <f t="shared" si="0"/>
        <v>2.8352257158087431E-2</v>
      </c>
      <c r="E14" s="20">
        <f>42485.46315+44609.747325</f>
        <v>87095.210475</v>
      </c>
      <c r="F14" s="21">
        <v>0</v>
      </c>
      <c r="G14" s="17">
        <v>0</v>
      </c>
      <c r="H14" s="17">
        <v>0</v>
      </c>
      <c r="I14" s="22">
        <v>0</v>
      </c>
      <c r="J14" s="22">
        <v>44609.747324999997</v>
      </c>
      <c r="K14" s="22">
        <v>42485.463150000003</v>
      </c>
      <c r="L14" s="23">
        <v>0</v>
      </c>
      <c r="M14" s="20">
        <f t="shared" si="1"/>
        <v>87095.210475</v>
      </c>
      <c r="N14" s="20">
        <f t="shared" si="2"/>
        <v>0</v>
      </c>
      <c r="O14" s="17">
        <f t="shared" si="3"/>
        <v>0</v>
      </c>
      <c r="P14" s="24">
        <v>0</v>
      </c>
      <c r="Q14" s="24">
        <f t="shared" si="4"/>
        <v>87095.210475</v>
      </c>
      <c r="R14" s="62">
        <f>+IF(N14&gt;0,P14,0)</f>
        <v>0</v>
      </c>
      <c r="S14" s="62">
        <f>+IF(M14&gt;0,P14,0)</f>
        <v>0</v>
      </c>
      <c r="T14" s="78"/>
      <c r="U14" s="76">
        <f t="shared" si="11"/>
        <v>0</v>
      </c>
      <c r="V14" s="76">
        <f t="shared" si="5"/>
        <v>0</v>
      </c>
      <c r="W14" s="76">
        <f t="shared" si="6"/>
        <v>0</v>
      </c>
      <c r="X14" s="76">
        <f t="shared" si="7"/>
        <v>0</v>
      </c>
      <c r="Y14" s="76">
        <f t="shared" si="8"/>
        <v>0</v>
      </c>
      <c r="Z14" s="76">
        <f t="shared" si="9"/>
        <v>0</v>
      </c>
      <c r="AA14" s="76">
        <f t="shared" si="10"/>
        <v>0</v>
      </c>
    </row>
    <row r="15" spans="1:27" x14ac:dyDescent="0.3">
      <c r="A15" s="51">
        <f>MAX($A$6:A14)+1</f>
        <v>10</v>
      </c>
      <c r="B15" s="19" t="s">
        <v>107</v>
      </c>
      <c r="C15" s="60" t="s">
        <v>87</v>
      </c>
      <c r="D15" s="45">
        <f t="shared" si="0"/>
        <v>2.5105823164664646E-2</v>
      </c>
      <c r="E15" s="20">
        <v>77122.5</v>
      </c>
      <c r="F15" s="21">
        <v>0</v>
      </c>
      <c r="G15" s="17">
        <v>0</v>
      </c>
      <c r="H15" s="22">
        <v>77122.5</v>
      </c>
      <c r="I15" s="22">
        <v>0</v>
      </c>
      <c r="J15" s="22">
        <v>0</v>
      </c>
      <c r="K15" s="22">
        <v>0</v>
      </c>
      <c r="L15" s="23">
        <v>0</v>
      </c>
      <c r="M15" s="20">
        <f t="shared" si="1"/>
        <v>77122.5</v>
      </c>
      <c r="N15" s="20">
        <f t="shared" si="2"/>
        <v>0</v>
      </c>
      <c r="O15" s="17">
        <f t="shared" si="3"/>
        <v>0</v>
      </c>
      <c r="P15" s="24">
        <v>0</v>
      </c>
      <c r="Q15" s="24">
        <f t="shared" si="4"/>
        <v>77122.5</v>
      </c>
      <c r="R15" s="62">
        <f>+IF(N15&gt;0,P15,0)</f>
        <v>0</v>
      </c>
      <c r="S15" s="62">
        <f>+IF(M15&gt;0,P15,0)</f>
        <v>0</v>
      </c>
      <c r="T15" s="92"/>
      <c r="U15" s="76">
        <f t="shared" si="11"/>
        <v>0</v>
      </c>
      <c r="V15" s="76">
        <f t="shared" si="5"/>
        <v>0</v>
      </c>
      <c r="W15" s="76">
        <f t="shared" si="6"/>
        <v>0</v>
      </c>
      <c r="X15" s="76">
        <f t="shared" si="7"/>
        <v>0</v>
      </c>
      <c r="Y15" s="76">
        <f t="shared" si="8"/>
        <v>0</v>
      </c>
      <c r="Z15" s="76">
        <f t="shared" si="9"/>
        <v>0</v>
      </c>
      <c r="AA15" s="76">
        <f t="shared" si="10"/>
        <v>0</v>
      </c>
    </row>
    <row r="16" spans="1:27" x14ac:dyDescent="0.3">
      <c r="A16" s="51">
        <f>MAX($A$6:A15)+1</f>
        <v>11</v>
      </c>
      <c r="B16" s="19" t="s">
        <v>124</v>
      </c>
      <c r="C16" s="60" t="s">
        <v>87</v>
      </c>
      <c r="D16" s="45">
        <f t="shared" si="0"/>
        <v>2.3273098073644125E-2</v>
      </c>
      <c r="E16" s="20">
        <v>71492.557499999995</v>
      </c>
      <c r="F16" s="131">
        <v>71492.557499999995</v>
      </c>
      <c r="G16" s="17">
        <v>0</v>
      </c>
      <c r="H16" s="17">
        <v>0</v>
      </c>
      <c r="I16" s="22">
        <v>0</v>
      </c>
      <c r="J16" s="22">
        <v>0</v>
      </c>
      <c r="K16" s="22">
        <v>0</v>
      </c>
      <c r="L16" s="23">
        <v>0</v>
      </c>
      <c r="M16" s="20">
        <f t="shared" si="1"/>
        <v>71492.557499999995</v>
      </c>
      <c r="N16" s="20">
        <f t="shared" si="2"/>
        <v>0</v>
      </c>
      <c r="O16" s="17">
        <f t="shared" si="3"/>
        <v>0</v>
      </c>
      <c r="P16" s="24">
        <f>M16</f>
        <v>71492.557499999995</v>
      </c>
      <c r="Q16" s="24">
        <f t="shared" si="4"/>
        <v>0</v>
      </c>
      <c r="R16" s="62"/>
      <c r="S16" s="62"/>
      <c r="T16" s="78"/>
      <c r="U16" s="76">
        <f t="shared" si="11"/>
        <v>71492.557499999995</v>
      </c>
      <c r="V16" s="76">
        <f t="shared" si="5"/>
        <v>0</v>
      </c>
      <c r="W16" s="76">
        <f t="shared" si="6"/>
        <v>0</v>
      </c>
      <c r="X16" s="76">
        <f t="shared" si="7"/>
        <v>0</v>
      </c>
      <c r="Y16" s="76">
        <f t="shared" si="8"/>
        <v>0</v>
      </c>
      <c r="Z16" s="76">
        <f t="shared" si="9"/>
        <v>0</v>
      </c>
      <c r="AA16" s="76">
        <f t="shared" si="10"/>
        <v>0</v>
      </c>
    </row>
    <row r="17" spans="1:27" x14ac:dyDescent="0.3">
      <c r="A17" s="51">
        <f>MAX($A$6:A16)+1</f>
        <v>12</v>
      </c>
      <c r="B17" s="19" t="s">
        <v>104</v>
      </c>
      <c r="C17" s="60" t="s">
        <v>87</v>
      </c>
      <c r="D17" s="45">
        <f t="shared" si="0"/>
        <v>0</v>
      </c>
      <c r="E17" s="20">
        <v>0</v>
      </c>
      <c r="F17" s="21">
        <v>0</v>
      </c>
      <c r="G17" s="17">
        <v>0</v>
      </c>
      <c r="H17" s="17">
        <v>0</v>
      </c>
      <c r="I17" s="22">
        <v>0</v>
      </c>
      <c r="J17" s="22">
        <v>0</v>
      </c>
      <c r="K17" s="22">
        <v>0</v>
      </c>
      <c r="L17" s="23">
        <v>0</v>
      </c>
      <c r="M17" s="20">
        <f t="shared" si="1"/>
        <v>0</v>
      </c>
      <c r="N17" s="20">
        <f t="shared" si="2"/>
        <v>0</v>
      </c>
      <c r="O17" s="17">
        <f t="shared" si="3"/>
        <v>0</v>
      </c>
      <c r="P17" s="24">
        <v>0</v>
      </c>
      <c r="Q17" s="24">
        <f t="shared" si="4"/>
        <v>0</v>
      </c>
      <c r="R17" s="62">
        <f>+IF(N17&gt;0,P17,0)</f>
        <v>0</v>
      </c>
      <c r="S17" s="62">
        <f>+IF(M17&gt;0,P17,0)</f>
        <v>0</v>
      </c>
      <c r="T17" s="78"/>
      <c r="U17" s="76">
        <f t="shared" si="11"/>
        <v>0</v>
      </c>
      <c r="V17" s="76">
        <f t="shared" si="5"/>
        <v>0</v>
      </c>
      <c r="W17" s="76">
        <f t="shared" si="6"/>
        <v>0</v>
      </c>
      <c r="X17" s="76">
        <f t="shared" si="7"/>
        <v>0</v>
      </c>
      <c r="Y17" s="76">
        <f t="shared" si="8"/>
        <v>0</v>
      </c>
      <c r="Z17" s="76">
        <f t="shared" si="9"/>
        <v>0</v>
      </c>
      <c r="AA17" s="76">
        <f t="shared" si="10"/>
        <v>0</v>
      </c>
    </row>
    <row r="18" spans="1:27" x14ac:dyDescent="0.3">
      <c r="A18" s="51">
        <f>MAX($A$6:A17)+1</f>
        <v>13</v>
      </c>
      <c r="B18" s="19" t="s">
        <v>53</v>
      </c>
      <c r="C18" s="60" t="s">
        <v>87</v>
      </c>
      <c r="D18" s="45">
        <f t="shared" si="0"/>
        <v>2.1317127301192878E-2</v>
      </c>
      <c r="E18" s="20">
        <f>31774.47+33709.546975</f>
        <v>65484.016974999999</v>
      </c>
      <c r="F18" s="21">
        <v>0</v>
      </c>
      <c r="G18" s="17">
        <v>0</v>
      </c>
      <c r="H18" s="17">
        <v>0</v>
      </c>
      <c r="I18" s="22">
        <v>0</v>
      </c>
      <c r="J18" s="22">
        <v>0</v>
      </c>
      <c r="K18" s="22">
        <v>0</v>
      </c>
      <c r="L18" s="23">
        <v>65484.016974999999</v>
      </c>
      <c r="M18" s="20">
        <f t="shared" si="1"/>
        <v>65484.016974999999</v>
      </c>
      <c r="N18" s="20">
        <f t="shared" si="2"/>
        <v>0</v>
      </c>
      <c r="O18" s="17">
        <f t="shared" si="3"/>
        <v>0</v>
      </c>
      <c r="P18" s="24">
        <v>0</v>
      </c>
      <c r="Q18" s="24">
        <f t="shared" si="4"/>
        <v>65484.016974999999</v>
      </c>
      <c r="R18" s="62">
        <f>+IF(N18&gt;0,P18,0)</f>
        <v>0</v>
      </c>
      <c r="S18" s="62">
        <f>+IF(M18&gt;0,P18,0)</f>
        <v>0</v>
      </c>
      <c r="T18" s="78"/>
      <c r="U18" s="76">
        <f t="shared" si="11"/>
        <v>0</v>
      </c>
      <c r="V18" s="76">
        <f t="shared" si="5"/>
        <v>0</v>
      </c>
      <c r="W18" s="76">
        <f t="shared" si="6"/>
        <v>0</v>
      </c>
      <c r="X18" s="76">
        <f t="shared" si="7"/>
        <v>0</v>
      </c>
      <c r="Y18" s="76">
        <f t="shared" si="8"/>
        <v>0</v>
      </c>
      <c r="Z18" s="76">
        <f t="shared" si="9"/>
        <v>0</v>
      </c>
      <c r="AA18" s="76">
        <f t="shared" si="10"/>
        <v>0</v>
      </c>
    </row>
    <row r="19" spans="1:27" x14ac:dyDescent="0.3">
      <c r="A19" s="51">
        <f>MAX($A$6:A18)+1</f>
        <v>14</v>
      </c>
      <c r="B19" s="19" t="s">
        <v>61</v>
      </c>
      <c r="C19" s="60" t="s">
        <v>87</v>
      </c>
      <c r="D19" s="45">
        <f t="shared" si="0"/>
        <v>1.3637758111585258E-2</v>
      </c>
      <c r="E19" s="20">
        <v>41893.786675000003</v>
      </c>
      <c r="F19" s="17">
        <v>0</v>
      </c>
      <c r="G19" s="17">
        <v>0</v>
      </c>
      <c r="H19" s="17">
        <v>0</v>
      </c>
      <c r="I19" s="22">
        <v>0</v>
      </c>
      <c r="J19" s="22">
        <v>0</v>
      </c>
      <c r="K19" s="22">
        <v>41893.786675000003</v>
      </c>
      <c r="L19" s="23">
        <v>0</v>
      </c>
      <c r="M19" s="20">
        <f t="shared" si="1"/>
        <v>41893.786675000003</v>
      </c>
      <c r="N19" s="20">
        <f t="shared" si="2"/>
        <v>0</v>
      </c>
      <c r="O19" s="17">
        <f t="shared" si="3"/>
        <v>0</v>
      </c>
      <c r="P19" s="24">
        <f>E19</f>
        <v>41893.786675000003</v>
      </c>
      <c r="Q19" s="24">
        <f t="shared" si="4"/>
        <v>0</v>
      </c>
      <c r="R19" s="62">
        <f>+IF(N19&gt;0,P19,0)</f>
        <v>0</v>
      </c>
      <c r="S19" s="62">
        <f>+IF(M19&gt;0,P19,0)</f>
        <v>41893.786675000003</v>
      </c>
      <c r="T19" s="78"/>
      <c r="U19" s="76">
        <f t="shared" si="11"/>
        <v>0</v>
      </c>
      <c r="V19" s="76">
        <f t="shared" si="5"/>
        <v>0</v>
      </c>
      <c r="W19" s="76">
        <f t="shared" si="6"/>
        <v>0</v>
      </c>
      <c r="X19" s="76">
        <f t="shared" si="7"/>
        <v>0</v>
      </c>
      <c r="Y19" s="76">
        <f t="shared" si="8"/>
        <v>0</v>
      </c>
      <c r="Z19" s="76">
        <f t="shared" si="9"/>
        <v>41893.786675000003</v>
      </c>
      <c r="AA19" s="76">
        <f t="shared" si="10"/>
        <v>0</v>
      </c>
    </row>
    <row r="20" spans="1:27" x14ac:dyDescent="0.3">
      <c r="A20" s="51">
        <f>MAX($A$6:A19)+1</f>
        <v>15</v>
      </c>
      <c r="B20" s="19" t="s">
        <v>126</v>
      </c>
      <c r="C20" s="60" t="s">
        <v>87</v>
      </c>
      <c r="D20" s="45">
        <f t="shared" si="0"/>
        <v>6.2764557911661615E-3</v>
      </c>
      <c r="E20" s="20">
        <v>19280.625</v>
      </c>
      <c r="F20" s="22">
        <v>19280.625</v>
      </c>
      <c r="G20" s="17">
        <v>0</v>
      </c>
      <c r="H20" s="17">
        <v>0</v>
      </c>
      <c r="I20" s="22">
        <v>0</v>
      </c>
      <c r="J20" s="22">
        <v>0</v>
      </c>
      <c r="K20" s="22">
        <v>0</v>
      </c>
      <c r="L20" s="23">
        <v>0</v>
      </c>
      <c r="M20" s="20">
        <f t="shared" si="1"/>
        <v>19280.625</v>
      </c>
      <c r="N20" s="20">
        <f t="shared" si="2"/>
        <v>0</v>
      </c>
      <c r="O20" s="17">
        <f t="shared" si="3"/>
        <v>0</v>
      </c>
      <c r="P20" s="24">
        <f>E20</f>
        <v>19280.625</v>
      </c>
      <c r="Q20" s="24">
        <f t="shared" si="4"/>
        <v>0</v>
      </c>
      <c r="R20" s="62"/>
      <c r="S20" s="62"/>
      <c r="T20" s="78"/>
      <c r="U20" s="76">
        <f t="shared" si="11"/>
        <v>19280.625</v>
      </c>
      <c r="V20" s="76">
        <f t="shared" si="5"/>
        <v>0</v>
      </c>
      <c r="W20" s="76">
        <f t="shared" si="6"/>
        <v>0</v>
      </c>
      <c r="X20" s="76">
        <f t="shared" si="7"/>
        <v>0</v>
      </c>
      <c r="Y20" s="76">
        <f t="shared" si="8"/>
        <v>0</v>
      </c>
      <c r="Z20" s="76">
        <f t="shared" si="9"/>
        <v>0</v>
      </c>
      <c r="AA20" s="76">
        <f t="shared" si="10"/>
        <v>0</v>
      </c>
    </row>
    <row r="21" spans="1:27" x14ac:dyDescent="0.3">
      <c r="A21" s="51">
        <f>MAX($A$6:A20)+1</f>
        <v>16</v>
      </c>
      <c r="B21" s="19" t="s">
        <v>120</v>
      </c>
      <c r="C21" s="60" t="s">
        <v>128</v>
      </c>
      <c r="D21" s="45">
        <f t="shared" si="0"/>
        <v>4.1835632760233209E-3</v>
      </c>
      <c r="E21" s="20">
        <v>12851.475</v>
      </c>
      <c r="F21" s="17">
        <v>0</v>
      </c>
      <c r="G21" s="17">
        <v>0</v>
      </c>
      <c r="H21" s="17">
        <v>0</v>
      </c>
      <c r="I21" s="22">
        <v>0</v>
      </c>
      <c r="J21" s="22">
        <v>12851.475</v>
      </c>
      <c r="K21" s="22">
        <v>0</v>
      </c>
      <c r="L21" s="23">
        <v>0</v>
      </c>
      <c r="M21" s="20">
        <f t="shared" si="1"/>
        <v>0</v>
      </c>
      <c r="N21" s="20">
        <f t="shared" si="2"/>
        <v>12851.475</v>
      </c>
      <c r="O21" s="17">
        <f t="shared" si="3"/>
        <v>0</v>
      </c>
      <c r="P21" s="24">
        <f>E21</f>
        <v>12851.475</v>
      </c>
      <c r="Q21" s="24">
        <f t="shared" si="4"/>
        <v>0</v>
      </c>
      <c r="R21" s="62">
        <f>+IF(N21&gt;0,P21,0)</f>
        <v>12851.475</v>
      </c>
      <c r="S21" s="62">
        <f>+IF(M21&gt;0,P21,0)</f>
        <v>0</v>
      </c>
      <c r="T21" s="78"/>
      <c r="U21" s="76">
        <f t="shared" si="11"/>
        <v>0</v>
      </c>
      <c r="V21" s="76">
        <f t="shared" si="5"/>
        <v>0</v>
      </c>
      <c r="W21" s="76">
        <f t="shared" si="6"/>
        <v>0</v>
      </c>
      <c r="X21" s="76">
        <f t="shared" si="7"/>
        <v>0</v>
      </c>
      <c r="Y21" s="76">
        <f t="shared" si="8"/>
        <v>12851.475</v>
      </c>
      <c r="Z21" s="76">
        <f t="shared" si="9"/>
        <v>0</v>
      </c>
      <c r="AA21" s="76">
        <f t="shared" si="10"/>
        <v>0</v>
      </c>
    </row>
    <row r="22" spans="1:27" x14ac:dyDescent="0.3">
      <c r="A22" s="51"/>
      <c r="B22" s="19"/>
      <c r="C22" s="60"/>
      <c r="D22" s="45"/>
      <c r="E22" s="20"/>
      <c r="F22" s="21"/>
      <c r="G22" s="17"/>
      <c r="H22" s="17"/>
      <c r="I22" s="22"/>
      <c r="J22" s="22"/>
      <c r="K22" s="22"/>
      <c r="L22" s="23"/>
      <c r="M22" s="20"/>
      <c r="N22" s="20"/>
      <c r="O22" s="17">
        <f t="shared" si="3"/>
        <v>0</v>
      </c>
      <c r="P22" s="24"/>
      <c r="Q22" s="24">
        <f t="shared" ref="Q22" si="12">+E22-P22</f>
        <v>0</v>
      </c>
      <c r="R22" s="62">
        <f t="shared" ref="R22" si="13">+IF(N22&gt;0,P22,0)</f>
        <v>0</v>
      </c>
      <c r="S22" s="62">
        <f t="shared" ref="S22" si="14">+IF(M22&gt;0,P22,0)</f>
        <v>0</v>
      </c>
      <c r="T22" s="78"/>
      <c r="U22" s="76">
        <f t="shared" ref="U22" si="15">F22</f>
        <v>0</v>
      </c>
    </row>
    <row r="23" spans="1:27" s="65" customFormat="1" x14ac:dyDescent="0.3">
      <c r="A23" s="52"/>
      <c r="B23" s="25" t="s">
        <v>93</v>
      </c>
      <c r="C23" s="63"/>
      <c r="D23" s="93"/>
      <c r="E23" s="26">
        <f t="shared" ref="E23:S23" si="16">SUM(E6:E22)</f>
        <v>3071896.8860000004</v>
      </c>
      <c r="F23" s="27">
        <f t="shared" si="16"/>
        <v>1199116.4217499997</v>
      </c>
      <c r="G23" s="28">
        <f t="shared" si="16"/>
        <v>206187.00375</v>
      </c>
      <c r="H23" s="28">
        <f t="shared" si="16"/>
        <v>561129.89999999991</v>
      </c>
      <c r="I23" s="28">
        <f t="shared" si="16"/>
        <v>143411.125</v>
      </c>
      <c r="J23" s="28">
        <f t="shared" si="16"/>
        <v>57461.222324999995</v>
      </c>
      <c r="K23" s="28">
        <f t="shared" si="16"/>
        <v>307321.11669999996</v>
      </c>
      <c r="L23" s="29">
        <f t="shared" si="16"/>
        <v>597270.09647500003</v>
      </c>
      <c r="M23" s="26">
        <f t="shared" si="16"/>
        <v>2915634.2860000003</v>
      </c>
      <c r="N23" s="26">
        <f t="shared" si="16"/>
        <v>156262.6</v>
      </c>
      <c r="O23" s="26">
        <f t="shared" si="16"/>
        <v>1592350.6392499998</v>
      </c>
      <c r="P23" s="26">
        <f t="shared" si="16"/>
        <v>1365532.3746750001</v>
      </c>
      <c r="Q23" s="26">
        <f t="shared" si="16"/>
        <v>1706364.5113250001</v>
      </c>
      <c r="R23" s="64">
        <f t="shared" si="16"/>
        <v>12851.475</v>
      </c>
      <c r="S23" s="64">
        <f t="shared" si="16"/>
        <v>990899.25217499991</v>
      </c>
      <c r="T23" s="26"/>
      <c r="U23" s="28">
        <f t="shared" ref="U23:AA23" si="17">SUM(U6:U22)</f>
        <v>254083.45249999998</v>
      </c>
      <c r="V23" s="28">
        <f t="shared" si="17"/>
        <v>206187.00375</v>
      </c>
      <c r="W23" s="28">
        <f t="shared" si="17"/>
        <v>484007.39999999997</v>
      </c>
      <c r="X23" s="28">
        <f t="shared" si="17"/>
        <v>0</v>
      </c>
      <c r="Y23" s="28">
        <f t="shared" si="17"/>
        <v>12851.475</v>
      </c>
      <c r="Z23" s="28">
        <f t="shared" si="17"/>
        <v>90349.853425000008</v>
      </c>
      <c r="AA23" s="28">
        <f t="shared" si="17"/>
        <v>318053.19</v>
      </c>
    </row>
    <row r="24" spans="1:27" s="38" customFormat="1" x14ac:dyDescent="0.3">
      <c r="A24" s="66"/>
      <c r="B24" s="30"/>
      <c r="C24" s="67"/>
      <c r="D24" s="47"/>
      <c r="E24" s="31"/>
      <c r="F24" s="32">
        <f>+F23/$E$23</f>
        <v>0.39035047928037764</v>
      </c>
      <c r="G24" s="33">
        <f t="shared" ref="G24:H24" si="18">+G23/$E$23</f>
        <v>6.7120418230730935E-2</v>
      </c>
      <c r="H24" s="33">
        <f t="shared" si="18"/>
        <v>0.18266560396519763</v>
      </c>
      <c r="I24" s="33">
        <f>+I23/$E$23</f>
        <v>4.6684875932388306E-2</v>
      </c>
      <c r="J24" s="33">
        <f>+J23/$E$23</f>
        <v>1.8705452838236963E-2</v>
      </c>
      <c r="K24" s="33">
        <f>+K23/$E$23</f>
        <v>0.10004278402071336</v>
      </c>
      <c r="L24" s="34">
        <f>+L23/$E$23</f>
        <v>0.19443038573235494</v>
      </c>
      <c r="M24" s="35">
        <f>+M23/E23</f>
        <v>0.94913156079158834</v>
      </c>
      <c r="N24" s="35">
        <f>+N23/E23</f>
        <v>5.086843920841163E-2</v>
      </c>
      <c r="O24" s="35">
        <f>+O23/E23</f>
        <v>0.51836070621610042</v>
      </c>
      <c r="P24" s="35">
        <f>+P23/E23</f>
        <v>0.44452415733690087</v>
      </c>
      <c r="Q24" s="35">
        <f>+Q23/E23</f>
        <v>0.55547584266309902</v>
      </c>
      <c r="R24" s="68"/>
      <c r="T24" s="35"/>
    </row>
    <row r="25" spans="1:27" s="38" customFormat="1" x14ac:dyDescent="0.3">
      <c r="B25" s="6"/>
      <c r="C25" s="69"/>
      <c r="D25" s="39"/>
      <c r="E25" s="80"/>
      <c r="F25" s="80"/>
      <c r="G25" s="80"/>
      <c r="H25" s="80"/>
      <c r="I25" s="80"/>
      <c r="J25" s="80"/>
      <c r="K25" s="80"/>
      <c r="L25" s="37"/>
      <c r="M25" s="37"/>
      <c r="N25" s="37"/>
      <c r="O25" s="37"/>
      <c r="P25" s="37"/>
      <c r="Q25" s="37"/>
      <c r="R25" s="68"/>
      <c r="T25" s="37"/>
    </row>
    <row r="26" spans="1:27" s="38" customFormat="1" x14ac:dyDescent="0.3">
      <c r="B26" s="6"/>
      <c r="C26" s="69"/>
      <c r="D26" s="39"/>
      <c r="F26" s="80"/>
      <c r="G26" s="80"/>
      <c r="H26" s="80"/>
      <c r="I26" s="80"/>
      <c r="J26" s="80"/>
      <c r="K26" s="80"/>
      <c r="L26" s="37"/>
      <c r="M26" s="37"/>
      <c r="N26" s="37"/>
      <c r="O26" s="37"/>
      <c r="P26" s="37"/>
      <c r="Q26" s="37"/>
      <c r="R26" s="68"/>
      <c r="T26" s="37"/>
    </row>
    <row r="27" spans="1:27" s="38" customFormat="1" x14ac:dyDescent="0.3">
      <c r="B27" s="6"/>
      <c r="C27" s="69"/>
      <c r="D27" s="39"/>
      <c r="E27" s="80"/>
      <c r="F27" s="80"/>
      <c r="G27" s="80"/>
      <c r="H27" s="80"/>
      <c r="I27" s="80"/>
      <c r="J27" s="80"/>
      <c r="K27" s="80"/>
      <c r="L27" s="37"/>
      <c r="M27" s="37"/>
      <c r="N27" s="37"/>
      <c r="O27" s="37"/>
      <c r="P27" s="37"/>
      <c r="Q27" s="37"/>
      <c r="R27" s="68"/>
      <c r="T27" s="37"/>
    </row>
    <row r="28" spans="1:27" s="38" customFormat="1" x14ac:dyDescent="0.3">
      <c r="B28" s="6"/>
      <c r="C28" s="69"/>
      <c r="D28" s="39"/>
      <c r="E28" s="80"/>
      <c r="F28" s="7" t="s">
        <v>77</v>
      </c>
      <c r="G28" s="8" t="s">
        <v>78</v>
      </c>
      <c r="H28" s="8" t="s">
        <v>79</v>
      </c>
      <c r="I28" s="8" t="s">
        <v>80</v>
      </c>
      <c r="J28" s="8" t="s">
        <v>81</v>
      </c>
      <c r="K28" s="8" t="s">
        <v>82</v>
      </c>
      <c r="L28" s="9" t="s">
        <v>83</v>
      </c>
      <c r="M28" s="9" t="s">
        <v>93</v>
      </c>
      <c r="N28" s="37"/>
      <c r="O28" s="37"/>
      <c r="P28" s="37"/>
      <c r="Q28" s="37"/>
      <c r="R28" s="68"/>
      <c r="T28" s="37"/>
    </row>
    <row r="29" spans="1:27" s="38" customFormat="1" x14ac:dyDescent="0.3">
      <c r="B29" s="6"/>
      <c r="C29" s="69"/>
      <c r="D29" s="39"/>
      <c r="E29" s="80" t="s">
        <v>114</v>
      </c>
      <c r="F29" s="122">
        <f>F23</f>
        <v>1199116.4217499997</v>
      </c>
      <c r="G29" s="123">
        <f t="shared" ref="G29:L29" si="19">G23</f>
        <v>206187.00375</v>
      </c>
      <c r="H29" s="123">
        <f t="shared" si="19"/>
        <v>561129.89999999991</v>
      </c>
      <c r="I29" s="123">
        <f t="shared" si="19"/>
        <v>143411.125</v>
      </c>
      <c r="J29" s="123">
        <f t="shared" si="19"/>
        <v>57461.222324999995</v>
      </c>
      <c r="K29" s="123">
        <f t="shared" si="19"/>
        <v>307321.11669999996</v>
      </c>
      <c r="L29" s="123">
        <f t="shared" si="19"/>
        <v>597270.09647500003</v>
      </c>
      <c r="M29" s="126">
        <f>SUM(F29:L29)</f>
        <v>3071896.8859999995</v>
      </c>
      <c r="N29" s="37"/>
      <c r="O29" s="37"/>
      <c r="P29" s="37"/>
      <c r="Q29" s="37"/>
      <c r="R29" s="68"/>
      <c r="T29" s="37"/>
    </row>
    <row r="30" spans="1:27" s="38" customFormat="1" x14ac:dyDescent="0.3">
      <c r="B30" s="6"/>
      <c r="C30" s="69"/>
      <c r="D30" s="39"/>
      <c r="E30" s="80" t="s">
        <v>94</v>
      </c>
      <c r="F30" s="124" cm="1">
        <f t="array" ref="F30:L30">U23:AA23</f>
        <v>254083.45249999998</v>
      </c>
      <c r="G30" s="125">
        <v>206187.00375</v>
      </c>
      <c r="H30" s="125">
        <v>484007.39999999997</v>
      </c>
      <c r="I30" s="125">
        <v>0</v>
      </c>
      <c r="J30" s="125">
        <v>12851.475</v>
      </c>
      <c r="K30" s="125">
        <v>90349.853425000008</v>
      </c>
      <c r="L30" s="125">
        <v>318053.19</v>
      </c>
      <c r="M30" s="127">
        <f>SUM(F30:L30)</f>
        <v>1365532.3746749999</v>
      </c>
      <c r="N30" s="37"/>
      <c r="O30" s="37"/>
      <c r="P30" s="37"/>
      <c r="Q30" s="37"/>
      <c r="R30" s="68"/>
      <c r="T30" s="37"/>
    </row>
    <row r="31" spans="1:27" s="38" customFormat="1" x14ac:dyDescent="0.3">
      <c r="B31" s="6"/>
      <c r="C31" s="69"/>
      <c r="D31" s="39"/>
      <c r="E31" s="80" t="s">
        <v>95</v>
      </c>
      <c r="F31" s="128">
        <f>F29-F30</f>
        <v>945032.96924999973</v>
      </c>
      <c r="G31" s="129">
        <f t="shared" ref="G31:L31" si="20">G29-G30</f>
        <v>0</v>
      </c>
      <c r="H31" s="129">
        <f t="shared" si="20"/>
        <v>77122.499999999942</v>
      </c>
      <c r="I31" s="129">
        <f t="shared" si="20"/>
        <v>143411.125</v>
      </c>
      <c r="J31" s="129">
        <f t="shared" si="20"/>
        <v>44609.747324999997</v>
      </c>
      <c r="K31" s="129">
        <f t="shared" si="20"/>
        <v>216971.26327499995</v>
      </c>
      <c r="L31" s="129">
        <f t="shared" si="20"/>
        <v>279216.90647500003</v>
      </c>
      <c r="M31" s="130">
        <f>SUM(F31:L31)</f>
        <v>1706364.5113249996</v>
      </c>
      <c r="N31" s="37"/>
      <c r="O31" s="37"/>
      <c r="P31" s="37"/>
      <c r="Q31" s="37"/>
      <c r="R31" s="68"/>
      <c r="T31" s="37"/>
    </row>
    <row r="32" spans="1:27" s="38" customFormat="1" x14ac:dyDescent="0.3">
      <c r="B32" s="6"/>
      <c r="C32" s="69"/>
      <c r="D32" s="39"/>
      <c r="E32" s="80"/>
      <c r="F32" s="80"/>
      <c r="G32" s="80"/>
      <c r="H32" s="80"/>
      <c r="I32" s="80"/>
      <c r="J32" s="80"/>
      <c r="K32" s="80"/>
      <c r="L32" s="37"/>
      <c r="M32" s="37"/>
      <c r="N32" s="37"/>
      <c r="O32" s="37"/>
      <c r="P32" s="37"/>
      <c r="Q32" s="37"/>
      <c r="R32" s="68"/>
      <c r="T32" s="37"/>
    </row>
    <row r="33" spans="1:20" s="38" customFormat="1" x14ac:dyDescent="0.3">
      <c r="B33" s="6"/>
      <c r="C33" s="69"/>
      <c r="D33" s="39"/>
      <c r="E33" s="80" t="s">
        <v>131</v>
      </c>
      <c r="F33" s="80">
        <v>10658717</v>
      </c>
      <c r="G33" s="80"/>
      <c r="H33" s="80"/>
      <c r="I33" s="80"/>
      <c r="J33" s="80"/>
      <c r="K33" s="80"/>
      <c r="L33" s="37"/>
      <c r="M33" s="117"/>
      <c r="N33" s="37"/>
      <c r="O33" s="37"/>
      <c r="P33" s="37"/>
      <c r="Q33" s="37"/>
      <c r="R33" s="68"/>
      <c r="T33" s="37"/>
    </row>
    <row r="34" spans="1:20" hidden="1" x14ac:dyDescent="0.3">
      <c r="A34" s="110" t="s">
        <v>118</v>
      </c>
      <c r="B34" s="111"/>
      <c r="F34" s="85"/>
      <c r="G34" s="85"/>
      <c r="H34" s="85"/>
      <c r="I34" s="85"/>
      <c r="J34" s="85"/>
      <c r="K34" s="85"/>
      <c r="L34" s="86"/>
      <c r="M34" s="86"/>
      <c r="N34" s="86"/>
      <c r="O34" s="86"/>
    </row>
    <row r="35" spans="1:20" hidden="1" x14ac:dyDescent="0.3">
      <c r="F35" s="86"/>
      <c r="G35" s="86"/>
      <c r="H35" s="86"/>
      <c r="I35" s="86"/>
      <c r="J35" s="86"/>
      <c r="K35" s="86"/>
      <c r="L35" s="86"/>
      <c r="M35" s="86"/>
      <c r="N35" s="86"/>
      <c r="O35" s="86"/>
    </row>
    <row r="36" spans="1:20" hidden="1" x14ac:dyDescent="0.3">
      <c r="A36" s="136" t="s">
        <v>64</v>
      </c>
      <c r="B36" s="138" t="s">
        <v>65</v>
      </c>
      <c r="C36" s="118"/>
      <c r="D36" s="140" t="s">
        <v>67</v>
      </c>
      <c r="E36" s="138" t="s">
        <v>68</v>
      </c>
      <c r="F36" s="142" t="s">
        <v>69</v>
      </c>
      <c r="G36" s="144"/>
      <c r="H36" s="144"/>
      <c r="I36" s="144"/>
      <c r="J36" s="144"/>
      <c r="K36" s="144"/>
      <c r="L36" s="143"/>
      <c r="M36" s="142" t="s">
        <v>70</v>
      </c>
      <c r="N36" s="143"/>
      <c r="O36" s="140" t="s">
        <v>71</v>
      </c>
      <c r="P36" s="136" t="s">
        <v>72</v>
      </c>
      <c r="Q36" s="134" t="s">
        <v>73</v>
      </c>
      <c r="R36" s="136" t="s">
        <v>74</v>
      </c>
      <c r="S36" s="136" t="s">
        <v>75</v>
      </c>
      <c r="T36" s="134" t="s">
        <v>103</v>
      </c>
    </row>
    <row r="37" spans="1:20" hidden="1" x14ac:dyDescent="0.3">
      <c r="A37" s="137"/>
      <c r="B37" s="139"/>
      <c r="C37" s="119"/>
      <c r="D37" s="141"/>
      <c r="E37" s="139"/>
      <c r="F37" s="7" t="s">
        <v>77</v>
      </c>
      <c r="G37" s="8" t="s">
        <v>78</v>
      </c>
      <c r="H37" s="8" t="s">
        <v>79</v>
      </c>
      <c r="I37" s="8" t="s">
        <v>80</v>
      </c>
      <c r="J37" s="8" t="s">
        <v>81</v>
      </c>
      <c r="K37" s="8" t="s">
        <v>82</v>
      </c>
      <c r="L37" s="9" t="s">
        <v>83</v>
      </c>
      <c r="M37" s="10" t="s">
        <v>84</v>
      </c>
      <c r="N37" s="10" t="s">
        <v>85</v>
      </c>
      <c r="O37" s="141"/>
      <c r="P37" s="137"/>
      <c r="Q37" s="135"/>
      <c r="R37" s="137"/>
      <c r="S37" s="137"/>
      <c r="T37" s="135"/>
    </row>
    <row r="38" spans="1:20" hidden="1" x14ac:dyDescent="0.3">
      <c r="A38" s="50">
        <v>1</v>
      </c>
      <c r="B38" s="11" t="s">
        <v>108</v>
      </c>
      <c r="C38" s="60"/>
      <c r="D38" s="44" t="e">
        <f>E38/$E$40</f>
        <v>#DIV/0!</v>
      </c>
      <c r="E38" s="94">
        <f>+SUM(F38:L38)</f>
        <v>0</v>
      </c>
      <c r="F38" s="112">
        <v>0</v>
      </c>
      <c r="G38" s="14">
        <v>0</v>
      </c>
      <c r="H38" s="14">
        <v>0</v>
      </c>
      <c r="I38" s="15">
        <v>0</v>
      </c>
      <c r="J38" s="15">
        <v>0</v>
      </c>
      <c r="K38" s="15">
        <v>0</v>
      </c>
      <c r="L38" s="16">
        <v>0</v>
      </c>
      <c r="M38" s="12"/>
      <c r="N38" s="12"/>
      <c r="O38" s="17">
        <f>IF(E38&gt;10%*$E$40,E38,0)</f>
        <v>0</v>
      </c>
      <c r="P38" s="18">
        <v>0</v>
      </c>
      <c r="Q38" s="18">
        <f t="shared" ref="Q38" si="21">+E38-P38</f>
        <v>0</v>
      </c>
      <c r="R38" s="61">
        <f t="shared" ref="R38" si="22">+IF(N38&gt;0,P38,0)</f>
        <v>0</v>
      </c>
      <c r="S38" s="61">
        <f t="shared" ref="S38" si="23">+IF(M38&gt;0,P38,0)</f>
        <v>0</v>
      </c>
      <c r="T38" s="91"/>
    </row>
    <row r="39" spans="1:20" hidden="1" x14ac:dyDescent="0.3">
      <c r="A39" s="51">
        <v>2</v>
      </c>
      <c r="B39" s="19" t="s">
        <v>113</v>
      </c>
      <c r="C39" s="60"/>
      <c r="D39" s="97" t="e">
        <f>E39/$E$40</f>
        <v>#DIV/0!</v>
      </c>
      <c r="E39" s="95">
        <f>+SUM(F39:L39)</f>
        <v>0</v>
      </c>
      <c r="F39" s="115">
        <v>0</v>
      </c>
      <c r="G39" s="17">
        <v>0</v>
      </c>
      <c r="H39" s="17">
        <v>0</v>
      </c>
      <c r="I39" s="22">
        <v>0</v>
      </c>
      <c r="J39" s="22">
        <v>0</v>
      </c>
      <c r="K39" s="22">
        <v>0</v>
      </c>
      <c r="L39" s="23">
        <v>0</v>
      </c>
      <c r="M39" s="20"/>
      <c r="N39" s="20"/>
      <c r="O39" s="17">
        <f>IF(E39&gt;10%*$E$40,E39,0)</f>
        <v>0</v>
      </c>
      <c r="P39" s="24">
        <v>0</v>
      </c>
      <c r="Q39" s="24">
        <f t="shared" ref="Q39" si="24">+E39-P39</f>
        <v>0</v>
      </c>
      <c r="R39" s="62"/>
      <c r="S39" s="62"/>
      <c r="T39" s="92"/>
    </row>
    <row r="40" spans="1:20" hidden="1" x14ac:dyDescent="0.3">
      <c r="A40" s="52"/>
      <c r="B40" s="25" t="s">
        <v>93</v>
      </c>
      <c r="C40" s="120"/>
      <c r="D40" s="96"/>
      <c r="E40" s="26">
        <f t="shared" ref="E40:Q40" si="25">SUM(E38:E39)</f>
        <v>0</v>
      </c>
      <c r="F40" s="27">
        <f t="shared" si="25"/>
        <v>0</v>
      </c>
      <c r="G40" s="28">
        <f t="shared" si="25"/>
        <v>0</v>
      </c>
      <c r="H40" s="28">
        <f t="shared" si="25"/>
        <v>0</v>
      </c>
      <c r="I40" s="28">
        <f t="shared" si="25"/>
        <v>0</v>
      </c>
      <c r="J40" s="28">
        <f t="shared" si="25"/>
        <v>0</v>
      </c>
      <c r="K40" s="28">
        <f t="shared" si="25"/>
        <v>0</v>
      </c>
      <c r="L40" s="29">
        <f t="shared" si="25"/>
        <v>0</v>
      </c>
      <c r="M40" s="26">
        <f t="shared" si="25"/>
        <v>0</v>
      </c>
      <c r="N40" s="26">
        <f t="shared" si="25"/>
        <v>0</v>
      </c>
      <c r="O40" s="26">
        <f t="shared" si="25"/>
        <v>0</v>
      </c>
      <c r="P40" s="26">
        <f t="shared" si="25"/>
        <v>0</v>
      </c>
      <c r="Q40" s="26">
        <f t="shared" si="25"/>
        <v>0</v>
      </c>
      <c r="R40" s="64">
        <f>SUM(R38:R38)</f>
        <v>0</v>
      </c>
      <c r="S40" s="64">
        <f>SUM(S38:S38)</f>
        <v>0</v>
      </c>
      <c r="T40" s="26"/>
    </row>
    <row r="41" spans="1:20" hidden="1" x14ac:dyDescent="0.3">
      <c r="A41" s="66"/>
      <c r="B41" s="30"/>
      <c r="C41" s="67"/>
      <c r="D41" s="47"/>
      <c r="E41" s="31"/>
      <c r="F41" s="32" t="e">
        <f>+F40/$E$40</f>
        <v>#DIV/0!</v>
      </c>
      <c r="G41" s="33" t="e">
        <f t="shared" ref="G41:L41" si="26">+G40/$E$40</f>
        <v>#DIV/0!</v>
      </c>
      <c r="H41" s="33" t="e">
        <f t="shared" si="26"/>
        <v>#DIV/0!</v>
      </c>
      <c r="I41" s="33" t="e">
        <f t="shared" si="26"/>
        <v>#DIV/0!</v>
      </c>
      <c r="J41" s="33" t="e">
        <f t="shared" si="26"/>
        <v>#DIV/0!</v>
      </c>
      <c r="K41" s="33" t="e">
        <f t="shared" si="26"/>
        <v>#DIV/0!</v>
      </c>
      <c r="L41" s="34" t="e">
        <f t="shared" si="26"/>
        <v>#DIV/0!</v>
      </c>
      <c r="M41" s="35" t="e">
        <f>+M40/E40</f>
        <v>#DIV/0!</v>
      </c>
      <c r="N41" s="35" t="e">
        <f>+N40/E40</f>
        <v>#DIV/0!</v>
      </c>
      <c r="O41" s="35" t="e">
        <f t="shared" ref="O41:Q41" si="27">+O40/$E$40</f>
        <v>#DIV/0!</v>
      </c>
      <c r="P41" s="35" t="e">
        <f t="shared" si="27"/>
        <v>#DIV/0!</v>
      </c>
      <c r="Q41" s="35" t="e">
        <f t="shared" si="27"/>
        <v>#DIV/0!</v>
      </c>
      <c r="R41" s="68"/>
      <c r="S41" s="38"/>
      <c r="T41" s="35"/>
    </row>
    <row r="42" spans="1:20" hidden="1" x14ac:dyDescent="0.3">
      <c r="A42" s="38"/>
      <c r="B42" s="6"/>
      <c r="C42" s="69"/>
      <c r="D42" s="39"/>
      <c r="E42" s="80"/>
      <c r="F42" s="80"/>
      <c r="G42" s="80"/>
      <c r="H42" s="80"/>
      <c r="I42" s="80"/>
      <c r="J42" s="80"/>
      <c r="K42" s="80"/>
      <c r="L42" s="37"/>
      <c r="M42" s="37"/>
      <c r="N42" s="37"/>
      <c r="O42" s="37"/>
      <c r="P42" s="37"/>
      <c r="Q42" s="37"/>
      <c r="R42" s="68"/>
      <c r="S42" s="38"/>
      <c r="T42" s="37"/>
    </row>
    <row r="43" spans="1:20" hidden="1" x14ac:dyDescent="0.3">
      <c r="A43" s="52"/>
      <c r="B43" s="25" t="s">
        <v>93</v>
      </c>
      <c r="C43" s="120"/>
      <c r="D43" s="96"/>
      <c r="E43" s="26">
        <f t="shared" ref="E43:Q43" si="28">E40+E23</f>
        <v>3071896.8860000004</v>
      </c>
      <c r="F43" s="27">
        <f t="shared" si="28"/>
        <v>1199116.4217499997</v>
      </c>
      <c r="G43" s="28">
        <f t="shared" si="28"/>
        <v>206187.00375</v>
      </c>
      <c r="H43" s="28">
        <f t="shared" si="28"/>
        <v>561129.89999999991</v>
      </c>
      <c r="I43" s="28">
        <f t="shared" si="28"/>
        <v>143411.125</v>
      </c>
      <c r="J43" s="28">
        <f t="shared" si="28"/>
        <v>57461.222324999995</v>
      </c>
      <c r="K43" s="28">
        <f t="shared" si="28"/>
        <v>307321.11669999996</v>
      </c>
      <c r="L43" s="29">
        <f t="shared" si="28"/>
        <v>597270.09647500003</v>
      </c>
      <c r="M43" s="26">
        <f t="shared" si="28"/>
        <v>2915634.2860000003</v>
      </c>
      <c r="N43" s="26">
        <f t="shared" si="28"/>
        <v>156262.6</v>
      </c>
      <c r="O43" s="26">
        <f t="shared" si="28"/>
        <v>1592350.6392499998</v>
      </c>
      <c r="P43" s="26">
        <f t="shared" si="28"/>
        <v>1365532.3746750001</v>
      </c>
      <c r="Q43" s="26">
        <f t="shared" si="28"/>
        <v>1706364.5113250001</v>
      </c>
      <c r="R43" s="64">
        <f>SUM(R39:R40)</f>
        <v>0</v>
      </c>
      <c r="S43" s="64">
        <f>SUM(S39:S40)</f>
        <v>0</v>
      </c>
      <c r="T43" s="26"/>
    </row>
    <row r="44" spans="1:20" s="108" customFormat="1" hidden="1" x14ac:dyDescent="0.3">
      <c r="A44" s="101"/>
      <c r="B44" s="102" t="s">
        <v>94</v>
      </c>
      <c r="C44" s="121"/>
      <c r="D44" s="103"/>
      <c r="E44" s="104">
        <f>SUM(F44:L44)</f>
        <v>0</v>
      </c>
      <c r="F44" s="105"/>
      <c r="G44" s="105"/>
      <c r="H44" s="105"/>
      <c r="I44" s="105"/>
      <c r="J44" s="105"/>
      <c r="K44" s="105"/>
      <c r="L44" s="106"/>
      <c r="M44" s="104" t="e">
        <f>M41+M24</f>
        <v>#DIV/0!</v>
      </c>
      <c r="N44" s="104" t="e">
        <f>N41+N24</f>
        <v>#DIV/0!</v>
      </c>
      <c r="O44" s="104"/>
      <c r="P44" s="104"/>
      <c r="Q44" s="104"/>
      <c r="R44" s="107">
        <f>SUM(R39:R41)</f>
        <v>0</v>
      </c>
      <c r="S44" s="107">
        <f>SUM(S39:S41)</f>
        <v>0</v>
      </c>
      <c r="T44" s="104"/>
    </row>
    <row r="45" spans="1:20" hidden="1" x14ac:dyDescent="0.3">
      <c r="A45" s="52"/>
      <c r="B45" s="25" t="s">
        <v>95</v>
      </c>
      <c r="C45" s="120"/>
      <c r="D45" s="96"/>
      <c r="E45" s="26">
        <f>E43-E44</f>
        <v>3071896.8860000004</v>
      </c>
      <c r="F45" s="28">
        <f t="shared" ref="F45:K45" si="29">F43-F44</f>
        <v>1199116.4217499997</v>
      </c>
      <c r="G45" s="28">
        <f t="shared" si="29"/>
        <v>206187.00375</v>
      </c>
      <c r="H45" s="28">
        <f t="shared" si="29"/>
        <v>561129.89999999991</v>
      </c>
      <c r="I45" s="28">
        <f t="shared" si="29"/>
        <v>143411.125</v>
      </c>
      <c r="J45" s="28">
        <f t="shared" si="29"/>
        <v>57461.222324999995</v>
      </c>
      <c r="K45" s="28">
        <f t="shared" si="29"/>
        <v>307321.11669999996</v>
      </c>
      <c r="L45" s="29"/>
      <c r="M45" s="26"/>
      <c r="N45" s="26"/>
      <c r="O45" s="26"/>
      <c r="P45" s="26"/>
      <c r="Q45" s="26"/>
      <c r="R45" s="64"/>
      <c r="S45" s="64"/>
      <c r="T45" s="26"/>
    </row>
    <row r="46" spans="1:20" hidden="1" x14ac:dyDescent="0.3">
      <c r="E46" s="98"/>
      <c r="F46"/>
      <c r="G46" s="99"/>
    </row>
    <row r="47" spans="1:20" ht="28.8" hidden="1" x14ac:dyDescent="0.3">
      <c r="B47" s="56" t="s">
        <v>112</v>
      </c>
      <c r="E47" s="116" t="s">
        <v>115</v>
      </c>
      <c r="F47" s="116" t="s">
        <v>116</v>
      </c>
      <c r="G47" s="116" t="s">
        <v>117</v>
      </c>
      <c r="H47" s="76"/>
      <c r="J47" s="76"/>
      <c r="K47" s="76"/>
    </row>
    <row r="48" spans="1:20" hidden="1" x14ac:dyDescent="0.3">
      <c r="B48" s="113" t="s">
        <v>113</v>
      </c>
      <c r="E48" s="98">
        <v>0</v>
      </c>
      <c r="F48" s="76">
        <f>F39</f>
        <v>0</v>
      </c>
      <c r="G48" s="76">
        <f>E48+F48</f>
        <v>0</v>
      </c>
      <c r="H48" s="76"/>
      <c r="J48" s="76"/>
      <c r="K48" s="76"/>
    </row>
    <row r="49" spans="2:13" hidden="1" x14ac:dyDescent="0.3">
      <c r="B49" s="113" t="s">
        <v>109</v>
      </c>
      <c r="E49" s="98">
        <v>0</v>
      </c>
      <c r="F49"/>
      <c r="G49" s="76">
        <f t="shared" ref="G49:G51" si="30">E49+F49</f>
        <v>0</v>
      </c>
      <c r="H49" s="76"/>
      <c r="J49" s="76"/>
      <c r="K49" s="76"/>
    </row>
    <row r="50" spans="2:13" hidden="1" x14ac:dyDescent="0.3">
      <c r="B50" s="113" t="s">
        <v>110</v>
      </c>
      <c r="E50" s="98">
        <v>0</v>
      </c>
      <c r="F50"/>
      <c r="G50" s="76">
        <f t="shared" si="30"/>
        <v>0</v>
      </c>
      <c r="H50" s="76"/>
      <c r="J50" s="76"/>
      <c r="K50" s="76"/>
    </row>
    <row r="51" spans="2:13" hidden="1" x14ac:dyDescent="0.3">
      <c r="B51" s="113" t="s">
        <v>111</v>
      </c>
      <c r="E51" s="98">
        <v>0</v>
      </c>
      <c r="F51"/>
      <c r="G51" s="76">
        <f t="shared" si="30"/>
        <v>0</v>
      </c>
      <c r="H51" s="76"/>
      <c r="J51" s="76"/>
      <c r="K51" s="76"/>
    </row>
    <row r="52" spans="2:13" hidden="1" x14ac:dyDescent="0.3">
      <c r="E52" s="114">
        <f>SUM(E48:E51)</f>
        <v>0</v>
      </c>
      <c r="F52" s="114">
        <f t="shared" ref="F52:G52" si="31">SUM(F48:F51)</f>
        <v>0</v>
      </c>
      <c r="G52" s="114">
        <f t="shared" si="31"/>
        <v>0</v>
      </c>
    </row>
    <row r="53" spans="2:13" hidden="1" x14ac:dyDescent="0.3">
      <c r="E53" s="98"/>
      <c r="F53"/>
      <c r="G53" s="99"/>
    </row>
    <row r="54" spans="2:13" hidden="1" x14ac:dyDescent="0.3">
      <c r="E54" s="98">
        <f>E40+SUM(E49:E51)</f>
        <v>0</v>
      </c>
      <c r="F54"/>
      <c r="G54"/>
    </row>
    <row r="55" spans="2:13" x14ac:dyDescent="0.3">
      <c r="E55" s="80" t="s">
        <v>114</v>
      </c>
      <c r="F55" s="122">
        <f>F29+F33</f>
        <v>11857833.42175</v>
      </c>
      <c r="G55" s="123">
        <v>206187.00375</v>
      </c>
      <c r="H55" s="123">
        <v>561129.89999999991</v>
      </c>
      <c r="I55" s="123">
        <v>143411.125</v>
      </c>
      <c r="J55" s="123">
        <v>57461.222324999995</v>
      </c>
      <c r="K55" s="123">
        <v>307321.11669999996</v>
      </c>
      <c r="L55" s="123">
        <v>597270.09647500003</v>
      </c>
      <c r="M55" s="126">
        <f>SUM(F55:L55)</f>
        <v>13730613.886</v>
      </c>
    </row>
    <row r="56" spans="2:13" x14ac:dyDescent="0.3">
      <c r="E56" s="80" t="s">
        <v>94</v>
      </c>
      <c r="F56" s="124">
        <v>254083.45249999998</v>
      </c>
      <c r="G56" s="125">
        <v>206187.00375</v>
      </c>
      <c r="H56" s="125">
        <v>484007.39999999997</v>
      </c>
      <c r="I56" s="125">
        <v>0</v>
      </c>
      <c r="J56" s="125">
        <v>12851.475</v>
      </c>
      <c r="K56" s="125">
        <v>90349.853425000008</v>
      </c>
      <c r="L56" s="125">
        <v>318053.19</v>
      </c>
      <c r="M56" s="126">
        <f>SUM(F56:L56)</f>
        <v>1365532.3746749999</v>
      </c>
    </row>
    <row r="57" spans="2:13" x14ac:dyDescent="0.3">
      <c r="E57" s="80" t="s">
        <v>95</v>
      </c>
      <c r="F57" s="128">
        <f>F55-F56</f>
        <v>11603749.969249999</v>
      </c>
      <c r="G57" s="128">
        <f t="shared" ref="G57:L57" si="32">G55-G56</f>
        <v>0</v>
      </c>
      <c r="H57" s="128">
        <f t="shared" si="32"/>
        <v>77122.499999999942</v>
      </c>
      <c r="I57" s="128">
        <f t="shared" si="32"/>
        <v>143411.125</v>
      </c>
      <c r="J57" s="128">
        <f t="shared" si="32"/>
        <v>44609.747324999997</v>
      </c>
      <c r="K57" s="128">
        <f t="shared" si="32"/>
        <v>216971.26327499995</v>
      </c>
      <c r="L57" s="128">
        <f t="shared" si="32"/>
        <v>279216.90647500003</v>
      </c>
      <c r="M57" s="126">
        <f>SUM(F57:L57)</f>
        <v>12365081.511324998</v>
      </c>
    </row>
    <row r="58" spans="2:13" x14ac:dyDescent="0.3">
      <c r="E58" s="98"/>
      <c r="F58"/>
      <c r="G58" s="99"/>
      <c r="M58" s="132">
        <f>M56/M55</f>
        <v>9.9451662249953957E-2</v>
      </c>
    </row>
    <row r="59" spans="2:13" x14ac:dyDescent="0.3">
      <c r="E59" s="98"/>
      <c r="F59"/>
      <c r="G59" s="99"/>
    </row>
    <row r="60" spans="2:13" x14ac:dyDescent="0.3">
      <c r="E60" s="98"/>
      <c r="F60"/>
      <c r="G60" s="99"/>
    </row>
    <row r="61" spans="2:13" x14ac:dyDescent="0.3">
      <c r="E61" s="98"/>
      <c r="F61"/>
      <c r="G61" s="99"/>
    </row>
    <row r="62" spans="2:13" x14ac:dyDescent="0.3">
      <c r="E62" s="98"/>
      <c r="F62"/>
      <c r="G62" s="99"/>
    </row>
    <row r="63" spans="2:13" x14ac:dyDescent="0.3">
      <c r="E63" s="98"/>
      <c r="F63"/>
      <c r="G63" s="99"/>
    </row>
    <row r="64" spans="2:13" x14ac:dyDescent="0.3">
      <c r="E64" s="98"/>
      <c r="F64"/>
      <c r="G64" s="99"/>
    </row>
    <row r="65" spans="5:7" x14ac:dyDescent="0.3">
      <c r="E65" s="98"/>
      <c r="F65"/>
      <c r="G65" s="99"/>
    </row>
    <row r="66" spans="5:7" x14ac:dyDescent="0.3">
      <c r="E66" s="98"/>
      <c r="F66"/>
      <c r="G66" s="99"/>
    </row>
    <row r="67" spans="5:7" x14ac:dyDescent="0.3">
      <c r="E67" s="98"/>
      <c r="F67"/>
      <c r="G67" s="99"/>
    </row>
    <row r="68" spans="5:7" x14ac:dyDescent="0.3">
      <c r="E68" s="76"/>
    </row>
    <row r="69" spans="5:7" x14ac:dyDescent="0.3">
      <c r="E69" s="100"/>
    </row>
  </sheetData>
  <sortState xmlns:xlrd2="http://schemas.microsoft.com/office/spreadsheetml/2017/richdata2" ref="A6:AA21">
    <sortCondition descending="1" ref="E6:E21"/>
  </sortState>
  <mergeCells count="25">
    <mergeCell ref="T36:T37"/>
    <mergeCell ref="M36:N36"/>
    <mergeCell ref="O36:O37"/>
    <mergeCell ref="P36:P37"/>
    <mergeCell ref="Q36:Q37"/>
    <mergeCell ref="R36:R37"/>
    <mergeCell ref="S36:S37"/>
    <mergeCell ref="F36:L36"/>
    <mergeCell ref="A36:A37"/>
    <mergeCell ref="B36:B37"/>
    <mergeCell ref="D36:D37"/>
    <mergeCell ref="E36:E37"/>
    <mergeCell ref="T4:T5"/>
    <mergeCell ref="M4:N4"/>
    <mergeCell ref="O4:O5"/>
    <mergeCell ref="P4:P5"/>
    <mergeCell ref="Q4:Q5"/>
    <mergeCell ref="R4:R5"/>
    <mergeCell ref="S4:S5"/>
    <mergeCell ref="F4:L4"/>
    <mergeCell ref="A4:A5"/>
    <mergeCell ref="B4:B5"/>
    <mergeCell ref="D4:D5"/>
    <mergeCell ref="E4:E5"/>
    <mergeCell ref="C4:C5"/>
  </mergeCells>
  <conditionalFormatting sqref="B6:B21">
    <cfRule type="duplicateValues" dxfId="0" priority="7"/>
  </conditionalFormatting>
  <printOptions horizontalCentered="1" verticalCentered="1" gridLines="1"/>
  <pageMargins left="0" right="0" top="3.9370078740157501E-2" bottom="0" header="3.9370078740157501E-2" footer="0"/>
  <pageSetup paperSize="9" scale="70" fitToHeight="0" orientation="landscape" r:id="rId1"/>
  <headerFooter>
    <oddFooter>Page &amp;P of &amp;N</oddFooter>
  </headerFooter>
  <colBreaks count="1" manualBreakCount="1">
    <brk id="17" max="56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AC978-B840-4B69-8312-25CC856784D3}">
  <sheetPr>
    <pageSetUpPr fitToPage="1"/>
  </sheetPr>
  <dimension ref="A1:T21"/>
  <sheetViews>
    <sheetView zoomScaleNormal="100" workbookViewId="0">
      <selection activeCell="A2" sqref="A2:XFD14"/>
    </sheetView>
  </sheetViews>
  <sheetFormatPr defaultColWidth="8.88671875" defaultRowHeight="14.4" x14ac:dyDescent="0.3"/>
  <cols>
    <col min="1" max="1" width="4.88671875" style="57" customWidth="1"/>
    <col min="2" max="2" width="32.44140625" style="56" bestFit="1" customWidth="1"/>
    <col min="3" max="3" width="10.5546875" style="56" hidden="1" customWidth="1"/>
    <col min="4" max="4" width="4.5546875" style="56" bestFit="1" customWidth="1"/>
    <col min="5" max="5" width="11.44140625" style="57" bestFit="1" customWidth="1"/>
    <col min="6" max="9" width="10.44140625" style="57" bestFit="1" customWidth="1"/>
    <col min="10" max="10" width="10.44140625" style="57" customWidth="1"/>
    <col min="11" max="11" width="10.44140625" style="57" bestFit="1" customWidth="1"/>
    <col min="12" max="12" width="5.44140625" style="57" hidden="1" customWidth="1"/>
    <col min="13" max="13" width="13.44140625" style="57" hidden="1" customWidth="1"/>
    <col min="14" max="14" width="8.44140625" style="57" hidden="1" customWidth="1"/>
    <col min="15" max="15" width="11.44140625" style="57" bestFit="1" customWidth="1"/>
    <col min="16" max="16" width="11.44140625" style="57" customWidth="1"/>
    <col min="17" max="17" width="10.5546875" style="57" bestFit="1" customWidth="1"/>
    <col min="18" max="19" width="10.6640625" style="57" hidden="1" customWidth="1"/>
    <col min="20" max="20" width="11.33203125" style="57" customWidth="1"/>
    <col min="21" max="16384" width="8.88671875" style="57"/>
  </cols>
  <sheetData>
    <row r="1" spans="1:20" x14ac:dyDescent="0.3">
      <c r="A1" s="6" t="s">
        <v>9</v>
      </c>
      <c r="F1" s="58">
        <v>44196</v>
      </c>
      <c r="G1" s="58">
        <f>+F2</f>
        <v>44166</v>
      </c>
      <c r="H1" s="58">
        <f>+G2</f>
        <v>44136</v>
      </c>
      <c r="I1" s="58">
        <f>+H2</f>
        <v>44106</v>
      </c>
      <c r="J1" s="58"/>
      <c r="K1" s="58">
        <f>+I2</f>
        <v>44016</v>
      </c>
    </row>
    <row r="2" spans="1:20" x14ac:dyDescent="0.3">
      <c r="A2" s="6" t="s">
        <v>96</v>
      </c>
      <c r="F2" s="58">
        <f>+F1-F3</f>
        <v>44166</v>
      </c>
      <c r="G2" s="58">
        <f>+G1-G3</f>
        <v>44136</v>
      </c>
      <c r="H2" s="58">
        <f>+H1-H3</f>
        <v>44106</v>
      </c>
      <c r="I2" s="58">
        <f>+I1-I3</f>
        <v>44016</v>
      </c>
      <c r="J2" s="58"/>
      <c r="K2" s="58">
        <f>+K1-K3</f>
        <v>43831</v>
      </c>
    </row>
    <row r="3" spans="1:20" x14ac:dyDescent="0.3">
      <c r="F3" s="59">
        <v>30</v>
      </c>
      <c r="G3" s="59">
        <v>30</v>
      </c>
      <c r="H3" s="59">
        <v>30</v>
      </c>
      <c r="I3" s="59">
        <v>90</v>
      </c>
      <c r="J3" s="59"/>
      <c r="K3" s="59">
        <v>185</v>
      </c>
    </row>
    <row r="4" spans="1:20" x14ac:dyDescent="0.3">
      <c r="A4" s="136" t="s">
        <v>64</v>
      </c>
      <c r="B4" s="138" t="s">
        <v>65</v>
      </c>
      <c r="C4" s="140" t="s">
        <v>66</v>
      </c>
      <c r="D4" s="140" t="s">
        <v>67</v>
      </c>
      <c r="E4" s="138" t="s">
        <v>68</v>
      </c>
      <c r="F4" s="142" t="s">
        <v>69</v>
      </c>
      <c r="G4" s="144"/>
      <c r="H4" s="144"/>
      <c r="I4" s="144"/>
      <c r="J4" s="144"/>
      <c r="K4" s="144"/>
      <c r="L4" s="143"/>
      <c r="M4" s="142" t="s">
        <v>70</v>
      </c>
      <c r="N4" s="143"/>
      <c r="O4" s="140" t="s">
        <v>71</v>
      </c>
      <c r="P4" s="136" t="s">
        <v>72</v>
      </c>
      <c r="Q4" s="134" t="s">
        <v>73</v>
      </c>
      <c r="R4" s="136" t="s">
        <v>74</v>
      </c>
      <c r="S4" s="136" t="s">
        <v>75</v>
      </c>
      <c r="T4" s="134" t="s">
        <v>76</v>
      </c>
    </row>
    <row r="5" spans="1:20" s="38" customFormat="1" x14ac:dyDescent="0.3">
      <c r="A5" s="137"/>
      <c r="B5" s="139"/>
      <c r="C5" s="141"/>
      <c r="D5" s="141"/>
      <c r="E5" s="139"/>
      <c r="F5" s="7" t="s">
        <v>77</v>
      </c>
      <c r="G5" s="8" t="s">
        <v>78</v>
      </c>
      <c r="H5" s="8" t="s">
        <v>79</v>
      </c>
      <c r="I5" s="8" t="s">
        <v>80</v>
      </c>
      <c r="J5" s="8" t="s">
        <v>81</v>
      </c>
      <c r="K5" s="8" t="s">
        <v>82</v>
      </c>
      <c r="L5" s="9" t="s">
        <v>83</v>
      </c>
      <c r="M5" s="10" t="s">
        <v>84</v>
      </c>
      <c r="N5" s="10" t="s">
        <v>85</v>
      </c>
      <c r="O5" s="141"/>
      <c r="P5" s="137"/>
      <c r="Q5" s="135"/>
      <c r="R5" s="137"/>
      <c r="S5" s="137"/>
      <c r="T5" s="135"/>
    </row>
    <row r="6" spans="1:20" x14ac:dyDescent="0.3">
      <c r="A6" s="50">
        <v>1</v>
      </c>
      <c r="B6" t="s">
        <v>97</v>
      </c>
      <c r="C6" s="60" t="s">
        <v>87</v>
      </c>
      <c r="D6" s="44">
        <f>E6/$E$11</f>
        <v>0.18187006202088607</v>
      </c>
      <c r="E6" s="12">
        <f t="shared" ref="E6:E9" si="0">SUM(F6:L6)</f>
        <v>2201152</v>
      </c>
      <c r="F6" s="13">
        <v>785431.66999999993</v>
      </c>
      <c r="G6" s="14">
        <v>125342.70999999999</v>
      </c>
      <c r="H6" s="14">
        <v>311701.93</v>
      </c>
      <c r="I6" s="15">
        <v>268804.94</v>
      </c>
      <c r="J6" s="15">
        <v>709870.75000000023</v>
      </c>
      <c r="K6" s="15">
        <v>0</v>
      </c>
      <c r="L6" s="16">
        <v>0</v>
      </c>
      <c r="M6" s="12">
        <f>+E6</f>
        <v>2201152</v>
      </c>
      <c r="N6" s="12"/>
      <c r="O6" s="17">
        <f>IF(E6&gt;10%*$E$11,E6,0)</f>
        <v>2201152</v>
      </c>
      <c r="P6" s="18">
        <v>1650049.9999999998</v>
      </c>
      <c r="Q6" s="18">
        <f t="shared" ref="Q6:Q9" si="1">+E6-P6</f>
        <v>551102.00000000023</v>
      </c>
      <c r="R6" s="61">
        <f t="shared" ref="R6:R10" si="2">+IF(N6&gt;0,P6,0)</f>
        <v>0</v>
      </c>
      <c r="S6" s="61">
        <f t="shared" ref="S6:S10" si="3">+IF(M6&gt;0,P6,0)</f>
        <v>1650049.9999999998</v>
      </c>
      <c r="T6" s="48"/>
    </row>
    <row r="7" spans="1:20" x14ac:dyDescent="0.3">
      <c r="A7" s="51">
        <f>+A6+1</f>
        <v>2</v>
      </c>
      <c r="B7" t="s">
        <v>98</v>
      </c>
      <c r="C7" s="60" t="s">
        <v>87</v>
      </c>
      <c r="D7" s="45">
        <f>E7/$E$11</f>
        <v>7.9223936615000851E-2</v>
      </c>
      <c r="E7" s="20">
        <f t="shared" si="0"/>
        <v>958838</v>
      </c>
      <c r="F7" s="21">
        <v>93894.37</v>
      </c>
      <c r="G7" s="17">
        <v>88806.290000000008</v>
      </c>
      <c r="H7" s="17">
        <v>180094.81</v>
      </c>
      <c r="I7" s="22">
        <v>186984.97</v>
      </c>
      <c r="J7" s="22">
        <v>409057.56</v>
      </c>
      <c r="K7" s="22">
        <v>0</v>
      </c>
      <c r="L7" s="23">
        <v>0</v>
      </c>
      <c r="M7" s="20">
        <f>+E7</f>
        <v>958838</v>
      </c>
      <c r="N7" s="20"/>
      <c r="O7" s="17">
        <f>IF(E7&gt;10%*$E$11,E7,0)</f>
        <v>0</v>
      </c>
      <c r="P7" s="24">
        <v>958838</v>
      </c>
      <c r="Q7" s="24">
        <f t="shared" si="1"/>
        <v>0</v>
      </c>
      <c r="R7" s="62">
        <f t="shared" si="2"/>
        <v>0</v>
      </c>
      <c r="S7" s="62">
        <f t="shared" si="3"/>
        <v>958838</v>
      </c>
      <c r="T7" s="78"/>
    </row>
    <row r="8" spans="1:20" x14ac:dyDescent="0.3">
      <c r="A8" s="51">
        <f t="shared" ref="A8:A9" si="4">+A7+1</f>
        <v>3</v>
      </c>
      <c r="B8" t="s">
        <v>99</v>
      </c>
      <c r="C8" s="60"/>
      <c r="D8" s="45">
        <f>E8/$E$11</f>
        <v>0.13571603568110308</v>
      </c>
      <c r="E8" s="20">
        <f t="shared" si="0"/>
        <v>1642555.24</v>
      </c>
      <c r="F8" s="21">
        <v>151635.99</v>
      </c>
      <c r="G8" s="17">
        <v>190665.66</v>
      </c>
      <c r="H8" s="17">
        <v>422222.68</v>
      </c>
      <c r="I8" s="17">
        <v>393480.95</v>
      </c>
      <c r="J8" s="22">
        <v>484549.95999999996</v>
      </c>
      <c r="K8" s="22">
        <v>0</v>
      </c>
      <c r="L8" s="23">
        <v>0</v>
      </c>
      <c r="M8" s="20"/>
      <c r="N8" s="20"/>
      <c r="O8" s="17">
        <f>IF(E8&gt;10%*$E$11,E8,0)</f>
        <v>1642555.24</v>
      </c>
      <c r="P8" s="24">
        <v>0</v>
      </c>
      <c r="Q8" s="24">
        <f t="shared" si="1"/>
        <v>1642555.24</v>
      </c>
      <c r="R8" s="62">
        <f t="shared" si="2"/>
        <v>0</v>
      </c>
      <c r="S8" s="62">
        <f t="shared" si="3"/>
        <v>0</v>
      </c>
      <c r="T8" s="49"/>
    </row>
    <row r="9" spans="1:20" x14ac:dyDescent="0.3">
      <c r="A9" s="51">
        <f t="shared" si="4"/>
        <v>4</v>
      </c>
      <c r="B9" t="s">
        <v>100</v>
      </c>
      <c r="C9" s="60"/>
      <c r="D9" s="45">
        <f>E9/$E$11</f>
        <v>0.60318996568300987</v>
      </c>
      <c r="E9" s="20">
        <f t="shared" si="0"/>
        <v>7300337.3099999996</v>
      </c>
      <c r="F9" s="21">
        <v>1593250.57</v>
      </c>
      <c r="G9" s="17">
        <v>1379592.31</v>
      </c>
      <c r="H9" s="17">
        <v>3159305.63</v>
      </c>
      <c r="I9" s="22">
        <v>1168188.8</v>
      </c>
      <c r="J9" s="22">
        <v>0</v>
      </c>
      <c r="K9" s="22">
        <v>0</v>
      </c>
      <c r="L9" s="23">
        <v>0</v>
      </c>
      <c r="M9" s="20"/>
      <c r="N9" s="20"/>
      <c r="O9" s="17">
        <f>IF(E9&gt;10%*$E$11,E9,0)</f>
        <v>7300337.3099999996</v>
      </c>
      <c r="P9" s="24">
        <v>7300337.3099999996</v>
      </c>
      <c r="Q9" s="24">
        <f t="shared" si="1"/>
        <v>0</v>
      </c>
      <c r="R9" s="62">
        <f t="shared" si="2"/>
        <v>0</v>
      </c>
      <c r="S9" s="62">
        <f t="shared" si="3"/>
        <v>0</v>
      </c>
      <c r="T9" s="49"/>
    </row>
    <row r="10" spans="1:20" x14ac:dyDescent="0.3">
      <c r="A10" s="51"/>
      <c r="B10" s="19"/>
      <c r="C10" s="60"/>
      <c r="D10" s="45">
        <f>E10/$E$11</f>
        <v>0</v>
      </c>
      <c r="E10" s="20"/>
      <c r="F10" s="21"/>
      <c r="G10" s="17"/>
      <c r="H10" s="17"/>
      <c r="I10" s="22"/>
      <c r="J10" s="22"/>
      <c r="K10" s="22"/>
      <c r="L10" s="23">
        <v>0</v>
      </c>
      <c r="M10" s="20"/>
      <c r="N10" s="20"/>
      <c r="O10" s="17"/>
      <c r="P10" s="24"/>
      <c r="Q10" s="24"/>
      <c r="R10" s="62">
        <f t="shared" si="2"/>
        <v>0</v>
      </c>
      <c r="S10" s="62">
        <f t="shared" si="3"/>
        <v>0</v>
      </c>
      <c r="T10" s="49"/>
    </row>
    <row r="11" spans="1:20" s="65" customFormat="1" x14ac:dyDescent="0.3">
      <c r="A11" s="52"/>
      <c r="B11" s="25" t="s">
        <v>93</v>
      </c>
      <c r="C11" s="63"/>
      <c r="D11" s="46"/>
      <c r="E11" s="26">
        <f>SUM(E6:E10)</f>
        <v>12102882.550000001</v>
      </c>
      <c r="F11" s="27">
        <f>SUM(F6:F10)</f>
        <v>2624212.6</v>
      </c>
      <c r="G11" s="28">
        <f>SUM(G6:G10)</f>
        <v>1784406.9700000002</v>
      </c>
      <c r="H11" s="28">
        <f>SUM(H6:H10)</f>
        <v>4073325.05</v>
      </c>
      <c r="I11" s="28">
        <f>SUM(I6:I10)</f>
        <v>2017459.6600000001</v>
      </c>
      <c r="J11" s="28">
        <f t="shared" ref="J11:K11" si="5">SUM(J6:J10)</f>
        <v>1603478.2700000003</v>
      </c>
      <c r="K11" s="28">
        <f t="shared" si="5"/>
        <v>0</v>
      </c>
      <c r="L11" s="29">
        <f t="shared" ref="L11:Q11" si="6">SUM(L6:L10)</f>
        <v>0</v>
      </c>
      <c r="M11" s="26">
        <f t="shared" si="6"/>
        <v>3159990</v>
      </c>
      <c r="N11" s="26">
        <f t="shared" si="6"/>
        <v>0</v>
      </c>
      <c r="O11" s="26">
        <f t="shared" si="6"/>
        <v>11144044.550000001</v>
      </c>
      <c r="P11" s="26">
        <f t="shared" si="6"/>
        <v>9909225.3099999987</v>
      </c>
      <c r="Q11" s="26">
        <f t="shared" si="6"/>
        <v>2193657.2400000002</v>
      </c>
      <c r="R11" s="64">
        <f>SUM(R6:R8)</f>
        <v>0</v>
      </c>
      <c r="S11" s="64">
        <f>SUM(S6:S8)</f>
        <v>2608888</v>
      </c>
      <c r="T11" s="26"/>
    </row>
    <row r="12" spans="1:20" s="38" customFormat="1" x14ac:dyDescent="0.3">
      <c r="A12" s="66"/>
      <c r="B12" s="30"/>
      <c r="C12" s="67"/>
      <c r="D12" s="47"/>
      <c r="E12" s="31"/>
      <c r="F12" s="32">
        <f>+F11/$E$11</f>
        <v>0.21682542065154553</v>
      </c>
      <c r="G12" s="33">
        <f t="shared" ref="G12:H12" si="7">+G11/$E$11</f>
        <v>0.14743652701149282</v>
      </c>
      <c r="H12" s="33">
        <f t="shared" si="7"/>
        <v>0.33655825652873078</v>
      </c>
      <c r="I12" s="33">
        <f>+I11/$E$11</f>
        <v>0.16669249260788704</v>
      </c>
      <c r="J12" s="54"/>
      <c r="K12" s="33">
        <f>+K11/$E$11</f>
        <v>0</v>
      </c>
      <c r="L12" s="34">
        <f>+L11/$E$11</f>
        <v>0</v>
      </c>
      <c r="M12" s="35">
        <f>+M11/E11</f>
        <v>0.26109399863588695</v>
      </c>
      <c r="N12" s="35">
        <f>+N11/E11</f>
        <v>0</v>
      </c>
      <c r="O12" s="35">
        <f>+O11/E11</f>
        <v>0.92077606338499918</v>
      </c>
      <c r="P12" s="35">
        <f>+P11/E11</f>
        <v>0.81874919210878383</v>
      </c>
      <c r="Q12" s="35">
        <f>+Q11/E11</f>
        <v>0.18125080789121598</v>
      </c>
      <c r="R12" s="68"/>
      <c r="T12" s="35"/>
    </row>
    <row r="13" spans="1:20" s="38" customFormat="1" x14ac:dyDescent="0.3">
      <c r="B13" s="6" t="s">
        <v>94</v>
      </c>
      <c r="C13" s="69"/>
      <c r="D13" s="39"/>
      <c r="E13" s="80">
        <f>SUM(F13:K13)</f>
        <v>9909225.3100000005</v>
      </c>
      <c r="F13" s="81">
        <f>(F6-Q6)+F7+F9</f>
        <v>1921474.6099999999</v>
      </c>
      <c r="G13" s="84">
        <f t="shared" ref="G13:I13" si="8">G6+G7+G9</f>
        <v>1593741.31</v>
      </c>
      <c r="H13" s="84">
        <f t="shared" si="8"/>
        <v>3651102.37</v>
      </c>
      <c r="I13" s="84">
        <f t="shared" si="8"/>
        <v>1623978.71</v>
      </c>
      <c r="J13" s="84">
        <f>J6+J7+J9</f>
        <v>1118928.3100000003</v>
      </c>
      <c r="K13" s="81">
        <f>-K9</f>
        <v>0</v>
      </c>
      <c r="L13" s="37"/>
      <c r="M13" s="37"/>
      <c r="N13" s="37"/>
      <c r="O13" s="37"/>
      <c r="P13" s="37"/>
      <c r="Q13" s="37"/>
      <c r="R13" s="68"/>
      <c r="T13" s="37"/>
    </row>
    <row r="14" spans="1:20" s="38" customFormat="1" x14ac:dyDescent="0.3">
      <c r="B14" s="6" t="s">
        <v>95</v>
      </c>
      <c r="C14" s="69"/>
      <c r="D14" s="39"/>
      <c r="E14" s="80">
        <f>E11-E13</f>
        <v>2193657.2400000002</v>
      </c>
      <c r="F14" s="80">
        <f t="shared" ref="F14:K14" si="9">F11-F13</f>
        <v>702737.99000000022</v>
      </c>
      <c r="G14" s="80">
        <f t="shared" si="9"/>
        <v>190665.66000000015</v>
      </c>
      <c r="H14" s="80">
        <f t="shared" si="9"/>
        <v>422222.6799999997</v>
      </c>
      <c r="I14" s="80">
        <f t="shared" si="9"/>
        <v>393480.95000000019</v>
      </c>
      <c r="J14" s="80">
        <f t="shared" si="9"/>
        <v>484549.95999999996</v>
      </c>
      <c r="K14" s="80">
        <f t="shared" si="9"/>
        <v>0</v>
      </c>
      <c r="L14" s="37"/>
      <c r="M14" s="37"/>
      <c r="N14" s="37"/>
      <c r="O14" s="37"/>
      <c r="P14" s="37"/>
      <c r="Q14" s="37"/>
      <c r="R14" s="68"/>
      <c r="T14" s="37"/>
    </row>
    <row r="15" spans="1:20" s="38" customFormat="1" x14ac:dyDescent="0.3">
      <c r="B15" s="69"/>
      <c r="C15" s="69"/>
      <c r="D15" s="69"/>
      <c r="E15" s="36"/>
      <c r="F15" s="37"/>
      <c r="G15" s="37"/>
      <c r="H15" s="37"/>
      <c r="I15" s="37"/>
      <c r="J15" s="55"/>
      <c r="K15" s="37"/>
      <c r="L15" s="37"/>
      <c r="M15" s="37"/>
      <c r="N15" s="37"/>
      <c r="O15" s="37"/>
      <c r="P15" s="37"/>
      <c r="Q15" s="37"/>
      <c r="R15" s="68"/>
    </row>
    <row r="17" spans="4:18" x14ac:dyDescent="0.3">
      <c r="D17" s="72"/>
    </row>
    <row r="18" spans="4:18" x14ac:dyDescent="0.3">
      <c r="E18" s="73"/>
      <c r="F18" s="74"/>
      <c r="G18" s="74"/>
      <c r="H18" s="74"/>
      <c r="I18" s="74"/>
      <c r="J18" s="75"/>
      <c r="K18" s="74"/>
      <c r="L18" s="74"/>
      <c r="M18" s="74"/>
      <c r="N18" s="74"/>
      <c r="O18" s="74"/>
      <c r="P18" s="74"/>
      <c r="Q18" s="74"/>
      <c r="R18" s="76"/>
    </row>
    <row r="19" spans="4:18" x14ac:dyDescent="0.3">
      <c r="E19" s="73"/>
      <c r="F19" s="74"/>
      <c r="G19" s="74"/>
      <c r="H19" s="74"/>
      <c r="I19" s="74"/>
      <c r="J19" s="75"/>
      <c r="K19" s="74"/>
      <c r="L19" s="74"/>
      <c r="M19" s="74"/>
      <c r="N19" s="74"/>
      <c r="O19" s="74"/>
      <c r="P19" s="74"/>
      <c r="Q19" s="74"/>
      <c r="R19" s="76"/>
    </row>
    <row r="20" spans="4:18" x14ac:dyDescent="0.3">
      <c r="E20" s="73"/>
      <c r="F20" s="74"/>
      <c r="G20" s="74"/>
      <c r="H20" s="74"/>
      <c r="I20" s="74"/>
      <c r="J20" s="75"/>
      <c r="K20" s="74"/>
      <c r="L20" s="74"/>
      <c r="M20" s="74"/>
      <c r="N20" s="74"/>
      <c r="O20" s="74"/>
      <c r="P20" s="74"/>
      <c r="Q20" s="74"/>
      <c r="R20" s="76"/>
    </row>
    <row r="21" spans="4:18" x14ac:dyDescent="0.3">
      <c r="E21" s="77"/>
      <c r="F21" s="74"/>
      <c r="G21" s="74"/>
      <c r="H21" s="74"/>
      <c r="I21" s="74"/>
      <c r="J21" s="75"/>
      <c r="K21" s="74"/>
      <c r="L21" s="74"/>
      <c r="M21" s="74"/>
      <c r="N21" s="74"/>
      <c r="O21" s="74"/>
      <c r="P21" s="74"/>
      <c r="Q21" s="74"/>
      <c r="R21" s="76"/>
    </row>
  </sheetData>
  <mergeCells count="13">
    <mergeCell ref="T4:T5"/>
    <mergeCell ref="M4:N4"/>
    <mergeCell ref="O4:O5"/>
    <mergeCell ref="P4:P5"/>
    <mergeCell ref="Q4:Q5"/>
    <mergeCell ref="R4:R5"/>
    <mergeCell ref="S4:S5"/>
    <mergeCell ref="F4:L4"/>
    <mergeCell ref="A4:A5"/>
    <mergeCell ref="B4:B5"/>
    <mergeCell ref="C4:C5"/>
    <mergeCell ref="D4:D5"/>
    <mergeCell ref="E4:E5"/>
  </mergeCells>
  <printOptions horizontalCentered="1" verticalCentered="1" gridLines="1"/>
  <pageMargins left="0" right="0" top="3.937007874015748E-2" bottom="0" header="3.937007874015748E-2" footer="0"/>
  <pageSetup paperSize="9" scale="97" fitToHeight="0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Export 02.12.2022 10.28.31</vt:lpstr>
      <vt:lpstr>AR</vt:lpstr>
      <vt:lpstr>AR 2025</vt:lpstr>
      <vt:lpstr>AR (RP)</vt:lpstr>
      <vt:lpstr>AR!Print_Area</vt:lpstr>
      <vt:lpstr>'AR (RP)'!Print_Area</vt:lpstr>
      <vt:lpstr>'AR 2025'!Print_Area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Cerris-Jane Schenk</dc:creator>
  <cp:keywords/>
  <dc:description/>
  <cp:lastModifiedBy>Moiz Khamosi</cp:lastModifiedBy>
  <cp:revision/>
  <cp:lastPrinted>2026-02-04T06:36:34Z</cp:lastPrinted>
  <dcterms:created xsi:type="dcterms:W3CDTF">2022-12-02T10:28:39Z</dcterms:created>
  <dcterms:modified xsi:type="dcterms:W3CDTF">2026-02-04T11:27:24Z</dcterms:modified>
  <cp:category/>
  <cp:contentStatus/>
</cp:coreProperties>
</file>