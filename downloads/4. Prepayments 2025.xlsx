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14C11A9-B204-4148-A75D-C67A00911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6" r:id="rId1"/>
  </sheets>
  <definedNames>
    <definedName name="_xlnm._FilterDatabase" localSheetId="0" hidden="1">'2025'!$A$6:$U$6</definedName>
    <definedName name="_xlnm.Print_Area" localSheetId="0">'2025'!$A$1:$AB$25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7" i="6" l="1"/>
  <c r="U7" i="6" l="1"/>
  <c r="O17" i="6"/>
  <c r="H18" i="6"/>
  <c r="AA14" i="6"/>
  <c r="AA19" i="6"/>
  <c r="I18" i="6"/>
  <c r="J18" i="6"/>
  <c r="K18" i="6"/>
  <c r="L18" i="6"/>
  <c r="N18" i="6"/>
  <c r="O18" i="6"/>
  <c r="P18" i="6"/>
  <c r="Q18" i="6"/>
  <c r="R18" i="6"/>
  <c r="S18" i="6"/>
  <c r="M18" i="6"/>
  <c r="AA9" i="6"/>
  <c r="Q7" i="6"/>
  <c r="M17" i="6" l="1"/>
  <c r="N17" i="6"/>
  <c r="AA22" i="6"/>
  <c r="S17" i="6"/>
  <c r="R17" i="6"/>
  <c r="Q17" i="6"/>
  <c r="P17" i="6"/>
  <c r="P7" i="6"/>
  <c r="S7" i="6"/>
  <c r="R7" i="6"/>
  <c r="L17" i="6"/>
  <c r="K17" i="6"/>
  <c r="J17" i="6"/>
  <c r="I17" i="6"/>
  <c r="H17" i="6"/>
  <c r="S12" i="6"/>
  <c r="R12" i="6"/>
  <c r="Q12" i="6"/>
  <c r="P12" i="6"/>
  <c r="O12" i="6"/>
  <c r="N12" i="6"/>
  <c r="M12" i="6"/>
  <c r="L12" i="6"/>
  <c r="K12" i="6"/>
  <c r="J12" i="6"/>
  <c r="I12" i="6"/>
  <c r="H12" i="6"/>
  <c r="T18" i="6" l="1"/>
  <c r="U18" i="6" s="1"/>
  <c r="AB18" i="6" s="1"/>
  <c r="Y22" i="6"/>
  <c r="X22" i="6"/>
  <c r="G19" i="6"/>
  <c r="F19" i="6"/>
  <c r="S19" i="6"/>
  <c r="R19" i="6"/>
  <c r="Q19" i="6"/>
  <c r="O19" i="6"/>
  <c r="N19" i="6"/>
  <c r="M19" i="6"/>
  <c r="I19" i="6"/>
  <c r="G14" i="6"/>
  <c r="F14" i="6"/>
  <c r="Y12" i="6"/>
  <c r="S14" i="6"/>
  <c r="R14" i="6"/>
  <c r="Q14" i="6"/>
  <c r="P14" i="6"/>
  <c r="O14" i="6"/>
  <c r="N14" i="6"/>
  <c r="M14" i="6"/>
  <c r="L14" i="6"/>
  <c r="K14" i="6"/>
  <c r="J14" i="6"/>
  <c r="I14" i="6"/>
  <c r="G9" i="6"/>
  <c r="F9" i="6"/>
  <c r="S9" i="6"/>
  <c r="R9" i="6"/>
  <c r="Q9" i="6"/>
  <c r="P9" i="6"/>
  <c r="O9" i="6"/>
  <c r="N9" i="6"/>
  <c r="M9" i="6"/>
  <c r="L9" i="6"/>
  <c r="K9" i="6"/>
  <c r="J9" i="6"/>
  <c r="I9" i="6"/>
  <c r="M22" i="6" l="1"/>
  <c r="O22" i="6"/>
  <c r="R22" i="6"/>
  <c r="F22" i="6"/>
  <c r="L22" i="6"/>
  <c r="N22" i="6"/>
  <c r="Q22" i="6"/>
  <c r="S22" i="6"/>
  <c r="I22" i="6"/>
  <c r="J22" i="6"/>
  <c r="G22" i="6"/>
  <c r="W18" i="6"/>
  <c r="V18" i="6"/>
  <c r="L19" i="6"/>
  <c r="T17" i="6"/>
  <c r="U17" i="6" s="1"/>
  <c r="AB17" i="6" s="1"/>
  <c r="J19" i="6"/>
  <c r="K19" i="6"/>
  <c r="K22" i="6" s="1"/>
  <c r="T7" i="6"/>
  <c r="T12" i="6"/>
  <c r="T14" i="6" s="1"/>
  <c r="H9" i="6"/>
  <c r="H19" i="6"/>
  <c r="P19" i="6"/>
  <c r="P22" i="6" s="1"/>
  <c r="H14" i="6"/>
  <c r="H22" i="6" l="1"/>
  <c r="V7" i="6"/>
  <c r="V9" i="6" s="1"/>
  <c r="W17" i="6"/>
  <c r="W19" i="6" s="1"/>
  <c r="V17" i="6"/>
  <c r="V19" i="6" s="1"/>
  <c r="T9" i="6"/>
  <c r="U14" i="6"/>
  <c r="V12" i="6"/>
  <c r="V14" i="6" s="1"/>
  <c r="U19" i="6"/>
  <c r="AB19" i="6" s="1"/>
  <c r="T19" i="6"/>
  <c r="T22" i="6" l="1"/>
  <c r="U9" i="6"/>
  <c r="AB9" i="6" s="1"/>
  <c r="W7" i="6"/>
  <c r="W9" i="6" s="1"/>
  <c r="V22" i="6"/>
  <c r="W12" i="6"/>
  <c r="W14" i="6" s="1"/>
  <c r="AB14" i="6"/>
  <c r="AB22" i="6" l="1"/>
  <c r="U22" i="6"/>
  <c r="W22" i="6"/>
</calcChain>
</file>

<file path=xl/sharedStrings.xml><?xml version="1.0" encoding="utf-8"?>
<sst xmlns="http://schemas.openxmlformats.org/spreadsheetml/2006/main" count="39" uniqueCount="38">
  <si>
    <t>From</t>
  </si>
  <si>
    <t>To</t>
  </si>
  <si>
    <t>Expense</t>
  </si>
  <si>
    <t>May</t>
  </si>
  <si>
    <t>Amount</t>
  </si>
  <si>
    <t>Particulars</t>
  </si>
  <si>
    <t>Prepaid Rent</t>
  </si>
  <si>
    <t>Value</t>
  </si>
  <si>
    <t xml:space="preserve">Opening </t>
  </si>
  <si>
    <t>Total</t>
  </si>
  <si>
    <t>Prepaid License</t>
  </si>
  <si>
    <t>Prepaid - USD</t>
  </si>
  <si>
    <t>Expense - USD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</si>
  <si>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</si>
  <si>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</si>
  <si>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</si>
  <si>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</si>
  <si>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</si>
  <si>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</si>
  <si>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</si>
  <si>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</si>
  <si>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</si>
  <si>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</si>
  <si>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</si>
  <si>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Sl.</t>
  </si>
  <si>
    <t>Prepaid Insurance</t>
  </si>
  <si>
    <t>Prepaid</t>
  </si>
  <si>
    <t>GTB</t>
  </si>
  <si>
    <t>Prepayments 2024</t>
  </si>
  <si>
    <t>Remarks</t>
  </si>
  <si>
    <t>Cigna Insurance</t>
  </si>
  <si>
    <t>DMCC portal statement</t>
  </si>
  <si>
    <t>AV3931</t>
  </si>
  <si>
    <t>Jumeirah Bay Tower</t>
  </si>
  <si>
    <t>Part month not considered</t>
  </si>
  <si>
    <t>AIG - 5062</t>
  </si>
  <si>
    <t>ABC Ltd</t>
  </si>
  <si>
    <t xml:space="preserve">AIG office insurance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</si>
</sst>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[$-1009]d\-mmm\-yy;@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4" fontId="3" fillId="0" borderId="1" xfId="0" applyNumberFormat="1" applyFont="1" applyBorder="1"/>
    <xf numFmtId="166" fontId="3" fillId="0" borderId="0" xfId="1" applyNumberFormat="1" applyFont="1"/>
    <xf numFmtId="0" fontId="1" fillId="0" borderId="5" xfId="0" applyFont="1" applyBorder="1"/>
    <xf numFmtId="0" fontId="2" fillId="0" borderId="6" xfId="0" applyFont="1" applyBorder="1"/>
    <xf numFmtId="165" fontId="2" fillId="0" borderId="6" xfId="0" applyNumberFormat="1" applyFont="1" applyBorder="1"/>
    <xf numFmtId="164" fontId="2" fillId="0" borderId="6" xfId="0" applyNumberFormat="1" applyFont="1" applyBorder="1"/>
    <xf numFmtId="166" fontId="3" fillId="0" borderId="7" xfId="1" applyNumberFormat="1" applyFont="1" applyBorder="1"/>
    <xf numFmtId="0" fontId="2" fillId="0" borderId="8" xfId="0" applyFont="1" applyBorder="1"/>
    <xf numFmtId="166" fontId="3" fillId="0" borderId="9" xfId="1" applyNumberFormat="1" applyFont="1" applyBorder="1"/>
    <xf numFmtId="164" fontId="3" fillId="0" borderId="0" xfId="0" applyNumberFormat="1" applyFont="1"/>
    <xf numFmtId="166" fontId="2" fillId="0" borderId="0" xfId="1" applyNumberFormat="1" applyFont="1"/>
    <xf numFmtId="164" fontId="3" fillId="0" borderId="10" xfId="0" applyNumberFormat="1" applyFont="1" applyBorder="1"/>
    <xf numFmtId="165" fontId="2" fillId="0" borderId="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5" fontId="3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2" fillId="0" borderId="14" xfId="0" applyFont="1" applyBorder="1"/>
    <xf numFmtId="0" fontId="3" fillId="0" borderId="15" xfId="0" applyFont="1" applyBorder="1"/>
    <xf numFmtId="165" fontId="2" fillId="0" borderId="15" xfId="0" applyNumberFormat="1" applyFont="1" applyBorder="1"/>
    <xf numFmtId="164" fontId="3" fillId="0" borderId="15" xfId="0" applyNumberFormat="1" applyFont="1" applyBorder="1"/>
    <xf numFmtId="164" fontId="3" fillId="0" borderId="16" xfId="0" applyNumberFormat="1" applyFont="1" applyBorder="1"/>
    <xf numFmtId="166" fontId="6" fillId="0" borderId="0" xfId="1" applyNumberFormat="1" applyFont="1"/>
    <xf numFmtId="164" fontId="3" fillId="0" borderId="8" xfId="0" applyNumberFormat="1" applyFont="1" applyBorder="1"/>
    <xf numFmtId="164" fontId="3" fillId="0" borderId="17" xfId="0" applyNumberFormat="1" applyFont="1" applyBorder="1"/>
    <xf numFmtId="164" fontId="3" fillId="0" borderId="14" xfId="0" applyNumberFormat="1" applyFont="1" applyBorder="1"/>
    <xf numFmtId="166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quotePrefix="1" applyFont="1"/>
    <xf numFmtId="0" fontId="2" fillId="0" borderId="8" xfId="0" applyFont="1" applyBorder="1" applyAlignment="1">
      <alignment horizontal="center"/>
    </xf>
    <xf numFmtId="0" fontId="6" fillId="0" borderId="0" xfId="0" applyFont="1" applyAlignment="1">
      <alignment horizontal="right"/>
    </xf>
    <xf numFmtId="166" fontId="9" fillId="0" borderId="15" xfId="1" applyNumberFormat="1" applyFont="1" applyBorder="1"/>
    <xf numFmtId="2" fontId="2" fillId="0" borderId="0" xfId="0" applyNumberFormat="1" applyFont="1"/>
    <xf numFmtId="166" fontId="2" fillId="0" borderId="6" xfId="1" applyNumberFormat="1" applyFont="1" applyBorder="1"/>
    <xf numFmtId="166" fontId="2" fillId="0" borderId="6" xfId="1" applyNumberFormat="1" applyFont="1" applyBorder="1" applyAlignment="1">
      <alignment vertical="center"/>
    </xf>
    <xf numFmtId="166" fontId="3" fillId="0" borderId="12" xfId="1" applyNumberFormat="1" applyFont="1" applyBorder="1" applyAlignment="1">
      <alignment horizontal="center" vertical="center"/>
    </xf>
    <xf numFmtId="166" fontId="3" fillId="0" borderId="1" xfId="1" applyNumberFormat="1" applyFont="1" applyBorder="1"/>
    <xf numFmtId="166" fontId="2" fillId="0" borderId="0" xfId="0" applyNumberFormat="1" applyFont="1"/>
    <xf numFmtId="0" fontId="8" fillId="0" borderId="0" xfId="0" applyFont="1"/>
    <xf numFmtId="165" fontId="2" fillId="2" borderId="0" xfId="0" applyNumberFormat="1" applyFont="1" applyFill="1"/>
    <xf numFmtId="0" fontId="3" fillId="0" borderId="0" xfId="0" applyFont="1"/>
    <xf numFmtId="166" fontId="8" fillId="0" borderId="0" xfId="1" quotePrefix="1" applyNumberFormat="1" applyFont="1" applyFill="1"/>
    <xf numFmtId="166" fontId="10" fillId="0" borderId="0" xfId="1" applyNumberFormat="1" applyFont="1" applyFill="1"/>
    <xf numFmtId="166" fontId="10" fillId="0" borderId="0" xfId="1" applyNumberFormat="1" applyFont="1"/>
    <xf numFmtId="0" fontId="2" fillId="2" borderId="8" xfId="0" applyFont="1" applyFill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66" fontId="2" fillId="2" borderId="0" xfId="1" applyNumberFormat="1" applyFont="1" applyFill="1"/>
    <xf numFmtId="164" fontId="3" fillId="2" borderId="8" xfId="0" applyNumberFormat="1" applyFont="1" applyFill="1" applyBorder="1"/>
    <xf numFmtId="164" fontId="3" fillId="2" borderId="0" xfId="0" applyNumberFormat="1" applyFont="1" applyFill="1"/>
    <xf numFmtId="166" fontId="3" fillId="2" borderId="9" xfId="1" applyNumberFormat="1" applyFont="1" applyFill="1" applyBorder="1"/>
    <xf numFmtId="0" fontId="7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5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2FA7-8067-4598-8F48-C996CD5AA81F}">
  <sheetPr>
    <tabColor rgb="FFFFFF00"/>
    <pageSetUpPr fitToPage="1"/>
  </sheetPr>
  <dimension ref="A1:AD35"/>
  <sheetViews>
    <sheetView tabSelected="1" zoomScaleNormal="100" workbookViewId="0">
      <pane ySplit="5" topLeftCell="A6" activePane="bottomLeft" state="frozen"/>
      <selection pane="bottomLeft" activeCell="M29" sqref="M29"/>
    </sheetView>
  </sheetViews>
  <sheetFormatPr defaultColWidth="9.109375" defaultRowHeight="13.8" x14ac:dyDescent="0.3"/>
  <cols>
    <col min="1" max="1" width="4" style="1" customWidth="1"/>
    <col min="2" max="2" width="26.21875" style="1" customWidth="1"/>
    <col min="3" max="3" width="10.88671875" style="2" bestFit="1" customWidth="1"/>
    <col min="4" max="4" width="11.33203125" style="2" bestFit="1" customWidth="1"/>
    <col min="5" max="5" width="5.44140625" style="2" hidden="1" customWidth="1"/>
    <col min="6" max="6" width="9.109375" style="14" hidden="1" customWidth="1"/>
    <col min="7" max="7" width="10" style="3" bestFit="1" customWidth="1"/>
    <col min="8" max="16" width="7.5546875" style="3" bestFit="1" customWidth="1"/>
    <col min="17" max="19" width="8.5546875" style="3" bestFit="1" customWidth="1"/>
    <col min="20" max="20" width="10.44140625" style="1" customWidth="1"/>
    <col min="21" max="21" width="10" style="1" customWidth="1"/>
    <col min="22" max="22" width="12" style="1" hidden="1" customWidth="1"/>
    <col min="23" max="23" width="12" style="5" hidden="1" customWidth="1"/>
    <col min="24" max="24" width="6" style="1" hidden="1" customWidth="1"/>
    <col min="25" max="25" width="12" style="1" hidden="1" customWidth="1"/>
    <col min="26" max="26" width="19.77734375" style="1" customWidth="1"/>
    <col min="27" max="27" width="11" style="1" bestFit="1" customWidth="1"/>
    <col min="28" max="28" width="9.5546875" style="1" bestFit="1" customWidth="1"/>
    <col min="29" max="16384" width="9.109375" style="1"/>
  </cols>
  <sheetData>
    <row r="1" spans="1:30" x14ac:dyDescent="0.3">
      <c r="A1" s="6" t="s">
        <v>36</v>
      </c>
      <c r="B1" s="7"/>
      <c r="C1" s="8"/>
      <c r="D1" s="8"/>
      <c r="E1" s="8"/>
      <c r="F1" s="3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7"/>
      <c r="U1" s="7"/>
      <c r="V1" s="7"/>
      <c r="W1" s="10"/>
      <c r="Z1" s="7"/>
    </row>
    <row r="2" spans="1:30" x14ac:dyDescent="0.3">
      <c r="A2" s="11" t="s">
        <v>28</v>
      </c>
      <c r="W2" s="12"/>
    </row>
    <row r="3" spans="1:30" ht="14.4" thickBot="1" x14ac:dyDescent="0.35">
      <c r="A3" s="11"/>
      <c r="H3" s="3">
        <v>31</v>
      </c>
      <c r="I3" s="3">
        <v>30</v>
      </c>
      <c r="J3" s="3">
        <v>31</v>
      </c>
      <c r="K3" s="3">
        <v>30</v>
      </c>
      <c r="L3" s="3">
        <v>31</v>
      </c>
      <c r="M3" s="3">
        <v>31</v>
      </c>
      <c r="N3" s="3">
        <v>29</v>
      </c>
      <c r="O3" s="3">
        <v>31</v>
      </c>
      <c r="P3" s="3">
        <v>30</v>
      </c>
      <c r="Q3" s="3">
        <v>31</v>
      </c>
      <c r="R3" s="3">
        <v>30</v>
      </c>
      <c r="S3" s="3">
        <v>31</v>
      </c>
      <c r="W3" s="12"/>
    </row>
    <row r="4" spans="1:30" s="17" customFormat="1" ht="15.75" customHeight="1" thickBot="1" x14ac:dyDescent="0.35">
      <c r="A4" s="59" t="s">
        <v>24</v>
      </c>
      <c r="B4" s="57" t="s">
        <v>5</v>
      </c>
      <c r="C4" s="62" t="s">
        <v>0</v>
      </c>
      <c r="D4" s="62" t="s">
        <v>1</v>
      </c>
      <c r="E4" s="16"/>
      <c r="F4" s="39"/>
      <c r="G4" s="57" t="s">
        <v>4</v>
      </c>
      <c r="H4" s="63">
        <v>2024</v>
      </c>
      <c r="I4" s="64"/>
      <c r="J4" s="64"/>
      <c r="K4" s="64"/>
      <c r="L4" s="65"/>
      <c r="M4" s="63">
        <v>2025</v>
      </c>
      <c r="N4" s="64"/>
      <c r="O4" s="64"/>
      <c r="P4" s="64"/>
      <c r="Q4" s="64"/>
      <c r="R4" s="64"/>
      <c r="S4" s="64"/>
      <c r="T4" s="66" t="s">
        <v>2</v>
      </c>
      <c r="U4" s="68" t="s">
        <v>26</v>
      </c>
      <c r="V4" s="68" t="s">
        <v>12</v>
      </c>
      <c r="W4" s="70" t="s">
        <v>11</v>
      </c>
      <c r="Z4" s="57" t="s">
        <v>29</v>
      </c>
    </row>
    <row r="5" spans="1:30" s="20" customFormat="1" ht="14.4" thickBot="1" x14ac:dyDescent="0.35">
      <c r="A5" s="60"/>
      <c r="B5" s="61"/>
      <c r="C5" s="61"/>
      <c r="D5" s="61"/>
      <c r="E5" s="18" t="s">
        <v>7</v>
      </c>
      <c r="F5" s="40" t="s">
        <v>8</v>
      </c>
      <c r="G5" s="61"/>
      <c r="H5" s="19" t="s">
        <v>13</v>
      </c>
      <c r="I5" s="19" t="s">
        <v>14</v>
      </c>
      <c r="J5" s="19" t="s">
        <v>15</v>
      </c>
      <c r="K5" s="19" t="s">
        <v>16</v>
      </c>
      <c r="L5" s="19" t="s">
        <v>17</v>
      </c>
      <c r="M5" s="19" t="s">
        <v>18</v>
      </c>
      <c r="N5" s="19" t="s">
        <v>19</v>
      </c>
      <c r="O5" s="19" t="s">
        <v>20</v>
      </c>
      <c r="P5" s="19" t="s">
        <v>21</v>
      </c>
      <c r="Q5" s="19" t="s">
        <v>3</v>
      </c>
      <c r="R5" s="19" t="s">
        <v>22</v>
      </c>
      <c r="S5" s="19" t="s">
        <v>23</v>
      </c>
      <c r="T5" s="67"/>
      <c r="U5" s="69"/>
      <c r="V5" s="69"/>
      <c r="W5" s="71"/>
      <c r="Z5" s="58"/>
      <c r="AA5" s="20" t="s">
        <v>27</v>
      </c>
    </row>
    <row r="6" spans="1:30" x14ac:dyDescent="0.3">
      <c r="A6" s="11"/>
      <c r="T6" s="11"/>
      <c r="W6" s="12"/>
    </row>
    <row r="7" spans="1:30" x14ac:dyDescent="0.3">
      <c r="A7" s="34">
        <v>1</v>
      </c>
      <c r="B7" s="21" t="s">
        <v>10</v>
      </c>
      <c r="C7" s="2">
        <v>45766</v>
      </c>
      <c r="D7" s="2">
        <v>46130</v>
      </c>
      <c r="G7" s="14">
        <v>20285</v>
      </c>
      <c r="H7" s="14"/>
      <c r="I7" s="14"/>
      <c r="J7" s="14"/>
      <c r="K7" s="14"/>
      <c r="L7" s="14"/>
      <c r="M7" s="14"/>
      <c r="N7" s="14"/>
      <c r="O7" s="14"/>
      <c r="P7" s="14">
        <f>$G7*12/365</f>
        <v>666.90410958904113</v>
      </c>
      <c r="Q7" s="14">
        <f t="shared" ref="Q7:S7" si="0">$G$7*Q3/365</f>
        <v>1722.8356164383561</v>
      </c>
      <c r="R7" s="14">
        <f t="shared" si="0"/>
        <v>1667.2602739726028</v>
      </c>
      <c r="S7" s="14">
        <f t="shared" si="0"/>
        <v>1722.8356164383561</v>
      </c>
      <c r="T7" s="28">
        <f>SUM(H7:S7)</f>
        <v>5779.8356164383558</v>
      </c>
      <c r="U7" s="5">
        <f>G7-T7</f>
        <v>14505.164383561645</v>
      </c>
      <c r="V7" s="13">
        <f t="shared" ref="V7" si="1">T7/3.67</f>
        <v>1574.887088947781</v>
      </c>
      <c r="W7" s="12">
        <f t="shared" ref="W7" si="2">U7/3.67</f>
        <v>3952.3608674554894</v>
      </c>
      <c r="Z7" s="43" t="s">
        <v>31</v>
      </c>
      <c r="AA7" s="14">
        <v>16407</v>
      </c>
      <c r="AC7" s="42"/>
      <c r="AD7" s="42"/>
    </row>
    <row r="8" spans="1:30" x14ac:dyDescent="0.3">
      <c r="A8" s="34"/>
      <c r="T8" s="11"/>
      <c r="W8" s="12"/>
    </row>
    <row r="9" spans="1:30" x14ac:dyDescent="0.3">
      <c r="A9" s="34"/>
      <c r="C9" s="37"/>
      <c r="D9" s="1"/>
      <c r="F9" s="4">
        <f t="shared" ref="F9:W9" si="3">SUM(F7:F8)</f>
        <v>0</v>
      </c>
      <c r="G9" s="4">
        <f t="shared" si="3"/>
        <v>20285</v>
      </c>
      <c r="H9" s="4">
        <f t="shared" si="3"/>
        <v>0</v>
      </c>
      <c r="I9" s="4">
        <f t="shared" si="3"/>
        <v>0</v>
      </c>
      <c r="J9" s="4">
        <f t="shared" si="3"/>
        <v>0</v>
      </c>
      <c r="K9" s="4">
        <f t="shared" si="3"/>
        <v>0</v>
      </c>
      <c r="L9" s="4">
        <f t="shared" si="3"/>
        <v>0</v>
      </c>
      <c r="M9" s="4">
        <f t="shared" si="3"/>
        <v>0</v>
      </c>
      <c r="N9" s="4">
        <f t="shared" si="3"/>
        <v>0</v>
      </c>
      <c r="O9" s="4">
        <f t="shared" si="3"/>
        <v>0</v>
      </c>
      <c r="P9" s="4">
        <f t="shared" si="3"/>
        <v>666.90410958904113</v>
      </c>
      <c r="Q9" s="4">
        <f t="shared" si="3"/>
        <v>1722.8356164383561</v>
      </c>
      <c r="R9" s="4">
        <f t="shared" si="3"/>
        <v>1667.2602739726028</v>
      </c>
      <c r="S9" s="4">
        <f t="shared" si="3"/>
        <v>1722.8356164383561</v>
      </c>
      <c r="T9" s="29">
        <f t="shared" si="3"/>
        <v>5779.8356164383558</v>
      </c>
      <c r="U9" s="4">
        <f t="shared" si="3"/>
        <v>14505.164383561645</v>
      </c>
      <c r="V9" s="4">
        <f t="shared" si="3"/>
        <v>1574.887088947781</v>
      </c>
      <c r="W9" s="15">
        <f t="shared" si="3"/>
        <v>3952.3608674554894</v>
      </c>
      <c r="AA9" s="4">
        <f>SUM(AA7:AA8)</f>
        <v>16407</v>
      </c>
      <c r="AB9" s="27">
        <f>U9-AA9</f>
        <v>-1901.8356164383549</v>
      </c>
    </row>
    <row r="10" spans="1:30" x14ac:dyDescent="0.3">
      <c r="A10" s="34"/>
      <c r="T10" s="11"/>
      <c r="W10" s="12"/>
      <c r="AB10" s="56" t="s">
        <v>34</v>
      </c>
    </row>
    <row r="11" spans="1:30" hidden="1" x14ac:dyDescent="0.3">
      <c r="A11" s="34">
        <v>2</v>
      </c>
      <c r="B11" s="21" t="s">
        <v>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28"/>
      <c r="U11" s="13"/>
      <c r="V11" s="13"/>
      <c r="W11" s="12"/>
      <c r="Z11" s="21"/>
    </row>
    <row r="12" spans="1:30" s="50" customFormat="1" hidden="1" x14ac:dyDescent="0.3">
      <c r="A12" s="49"/>
      <c r="B12" s="50" t="s">
        <v>33</v>
      </c>
      <c r="C12" s="44">
        <v>45454</v>
      </c>
      <c r="D12" s="44">
        <v>46548</v>
      </c>
      <c r="E12" s="44"/>
      <c r="F12" s="51">
        <v>0</v>
      </c>
      <c r="G12" s="51"/>
      <c r="H12" s="52">
        <f>$F$12*H3/366</f>
        <v>0</v>
      </c>
      <c r="I12" s="52">
        <f t="shared" ref="I12:S12" si="4">$F$12*I3/366</f>
        <v>0</v>
      </c>
      <c r="J12" s="52">
        <f t="shared" si="4"/>
        <v>0</v>
      </c>
      <c r="K12" s="52">
        <f t="shared" si="4"/>
        <v>0</v>
      </c>
      <c r="L12" s="52">
        <f t="shared" si="4"/>
        <v>0</v>
      </c>
      <c r="M12" s="52">
        <f t="shared" si="4"/>
        <v>0</v>
      </c>
      <c r="N12" s="52">
        <f t="shared" si="4"/>
        <v>0</v>
      </c>
      <c r="O12" s="52">
        <f t="shared" si="4"/>
        <v>0</v>
      </c>
      <c r="P12" s="52">
        <f t="shared" si="4"/>
        <v>0</v>
      </c>
      <c r="Q12" s="52">
        <f t="shared" si="4"/>
        <v>0</v>
      </c>
      <c r="R12" s="52">
        <f t="shared" si="4"/>
        <v>0</v>
      </c>
      <c r="S12" s="52">
        <f t="shared" si="4"/>
        <v>0</v>
      </c>
      <c r="T12" s="53">
        <f>SUM(H12:S12)</f>
        <v>0</v>
      </c>
      <c r="U12" s="54">
        <v>0</v>
      </c>
      <c r="V12" s="54">
        <f t="shared" ref="V12:W12" si="5">T12/3.67</f>
        <v>0</v>
      </c>
      <c r="W12" s="55">
        <f t="shared" si="5"/>
        <v>0</v>
      </c>
      <c r="X12" s="50">
        <v>18400</v>
      </c>
      <c r="Y12" s="50">
        <f>X12/3.67</f>
        <v>5013.6239782016346</v>
      </c>
      <c r="AA12" s="52">
        <v>0</v>
      </c>
      <c r="AD12" s="51"/>
    </row>
    <row r="13" spans="1:30" hidden="1" x14ac:dyDescent="0.3">
      <c r="A13" s="34"/>
      <c r="T13" s="11"/>
      <c r="W13" s="12"/>
    </row>
    <row r="14" spans="1:30" hidden="1" x14ac:dyDescent="0.3">
      <c r="A14" s="34"/>
      <c r="F14" s="4">
        <f t="shared" ref="F14:W14" si="6">SUM(F11:F13)</f>
        <v>0</v>
      </c>
      <c r="G14" s="4">
        <f t="shared" si="6"/>
        <v>0</v>
      </c>
      <c r="H14" s="4">
        <f t="shared" si="6"/>
        <v>0</v>
      </c>
      <c r="I14" s="4">
        <f t="shared" si="6"/>
        <v>0</v>
      </c>
      <c r="J14" s="4">
        <f t="shared" si="6"/>
        <v>0</v>
      </c>
      <c r="K14" s="4">
        <f t="shared" si="6"/>
        <v>0</v>
      </c>
      <c r="L14" s="4">
        <f t="shared" si="6"/>
        <v>0</v>
      </c>
      <c r="M14" s="4">
        <f t="shared" si="6"/>
        <v>0</v>
      </c>
      <c r="N14" s="4">
        <f t="shared" si="6"/>
        <v>0</v>
      </c>
      <c r="O14" s="4">
        <f t="shared" si="6"/>
        <v>0</v>
      </c>
      <c r="P14" s="4">
        <f t="shared" si="6"/>
        <v>0</v>
      </c>
      <c r="Q14" s="4">
        <f t="shared" si="6"/>
        <v>0</v>
      </c>
      <c r="R14" s="4">
        <f t="shared" si="6"/>
        <v>0</v>
      </c>
      <c r="S14" s="4">
        <f t="shared" si="6"/>
        <v>0</v>
      </c>
      <c r="T14" s="29">
        <f t="shared" si="6"/>
        <v>0</v>
      </c>
      <c r="U14" s="4">
        <f t="shared" si="6"/>
        <v>0</v>
      </c>
      <c r="V14" s="4">
        <f t="shared" si="6"/>
        <v>0</v>
      </c>
      <c r="W14" s="15">
        <f t="shared" si="6"/>
        <v>0</v>
      </c>
      <c r="AA14" s="4">
        <f>SUM(AA12:AA13)</f>
        <v>0</v>
      </c>
      <c r="AB14" s="27">
        <f>U14-AA14</f>
        <v>0</v>
      </c>
    </row>
    <row r="15" spans="1:30" hidden="1" x14ac:dyDescent="0.3">
      <c r="A15" s="34"/>
      <c r="T15" s="11"/>
      <c r="W15" s="12"/>
    </row>
    <row r="16" spans="1:30" x14ac:dyDescent="0.3">
      <c r="A16" s="34">
        <v>2</v>
      </c>
      <c r="B16" s="21" t="s">
        <v>25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8"/>
      <c r="U16" s="13"/>
      <c r="V16" s="13"/>
      <c r="W16" s="12"/>
      <c r="Z16" s="21"/>
    </row>
    <row r="17" spans="1:28" x14ac:dyDescent="0.3">
      <c r="A17" s="34"/>
      <c r="B17" s="43" t="s">
        <v>37</v>
      </c>
      <c r="C17" s="2">
        <v>45684</v>
      </c>
      <c r="D17" s="2">
        <v>46048</v>
      </c>
      <c r="F17" s="14">
        <v>0</v>
      </c>
      <c r="G17" s="3">
        <f>6727.2</f>
        <v>6727.2</v>
      </c>
      <c r="H17" s="14">
        <f>+$F$17*H3/179</f>
        <v>0</v>
      </c>
      <c r="I17" s="14">
        <f>+$F$17*I3/179</f>
        <v>0</v>
      </c>
      <c r="J17" s="14">
        <f>+$F$17*J3/179</f>
        <v>0</v>
      </c>
      <c r="K17" s="14">
        <f>+$F$17*K3/179</f>
        <v>0</v>
      </c>
      <c r="L17" s="14">
        <f>+$F$17*L3/179</f>
        <v>0</v>
      </c>
      <c r="M17" s="14">
        <f>$G17*5/365</f>
        <v>92.153424657534245</v>
      </c>
      <c r="N17" s="14">
        <f t="shared" ref="N17:S17" si="7">$G17*N$3/365</f>
        <v>534.4898630136986</v>
      </c>
      <c r="O17" s="14">
        <f t="shared" si="7"/>
        <v>571.35123287671229</v>
      </c>
      <c r="P17" s="14">
        <f t="shared" si="7"/>
        <v>552.9205479452055</v>
      </c>
      <c r="Q17" s="14">
        <f t="shared" si="7"/>
        <v>571.35123287671229</v>
      </c>
      <c r="R17" s="14">
        <f t="shared" si="7"/>
        <v>552.9205479452055</v>
      </c>
      <c r="S17" s="14">
        <f t="shared" si="7"/>
        <v>571.35123287671229</v>
      </c>
      <c r="T17" s="28">
        <f t="shared" ref="T17" si="8">SUM(H17:S17)</f>
        <v>3446.5380821917811</v>
      </c>
      <c r="U17" s="13">
        <f>+G17-T17</f>
        <v>3280.6619178082187</v>
      </c>
      <c r="V17" s="13">
        <f t="shared" ref="V17:V18" si="9">T17/3.67</f>
        <v>939.11119405770603</v>
      </c>
      <c r="W17" s="12">
        <f t="shared" ref="W17:W18" si="10">U17/3.67</f>
        <v>893.91332910305687</v>
      </c>
      <c r="Z17" s="43" t="s">
        <v>35</v>
      </c>
      <c r="AA17" s="14">
        <v>3364</v>
      </c>
      <c r="AB17" s="27">
        <f>U17-AA17</f>
        <v>-83.338082191781268</v>
      </c>
    </row>
    <row r="18" spans="1:28" x14ac:dyDescent="0.3">
      <c r="A18" s="34"/>
      <c r="B18" s="1" t="s">
        <v>30</v>
      </c>
      <c r="C18" s="2">
        <v>45524</v>
      </c>
      <c r="D18" s="2">
        <v>45888</v>
      </c>
      <c r="F18" s="14">
        <v>0</v>
      </c>
      <c r="G18" s="3">
        <v>556590.88</v>
      </c>
      <c r="H18" s="14">
        <f>$G18*12/365</f>
        <v>18298.878246575343</v>
      </c>
      <c r="I18" s="14">
        <f t="shared" ref="I18:L18" si="11">$G18*I$3/365</f>
        <v>45747.195616438359</v>
      </c>
      <c r="J18" s="14">
        <f t="shared" si="11"/>
        <v>47272.102136986301</v>
      </c>
      <c r="K18" s="14">
        <f t="shared" si="11"/>
        <v>45747.195616438359</v>
      </c>
      <c r="L18" s="14">
        <f t="shared" si="11"/>
        <v>47272.102136986301</v>
      </c>
      <c r="M18" s="14">
        <f>$G18*M$3/365</f>
        <v>47272.102136986301</v>
      </c>
      <c r="N18" s="14">
        <f t="shared" ref="N18:S18" si="12">$G18*N$3/365</f>
        <v>44222.28909589041</v>
      </c>
      <c r="O18" s="14">
        <f t="shared" si="12"/>
        <v>47272.102136986301</v>
      </c>
      <c r="P18" s="14">
        <f t="shared" si="12"/>
        <v>45747.195616438359</v>
      </c>
      <c r="Q18" s="14">
        <f t="shared" si="12"/>
        <v>47272.102136986301</v>
      </c>
      <c r="R18" s="14">
        <f t="shared" si="12"/>
        <v>45747.195616438359</v>
      </c>
      <c r="S18" s="14">
        <f t="shared" si="12"/>
        <v>47272.102136986301</v>
      </c>
      <c r="T18" s="28">
        <f>SUM(H18:S18)</f>
        <v>529142.56263013696</v>
      </c>
      <c r="U18" s="13">
        <f>+G18-T18</f>
        <v>27448.317369863042</v>
      </c>
      <c r="V18" s="13">
        <f t="shared" si="9"/>
        <v>144180.53477660409</v>
      </c>
      <c r="W18" s="12">
        <f t="shared" si="10"/>
        <v>7479.1055503714015</v>
      </c>
      <c r="Z18" s="1" t="s">
        <v>32</v>
      </c>
      <c r="AA18" s="14">
        <v>46383</v>
      </c>
      <c r="AB18" s="27">
        <f>U18-AA18</f>
        <v>-18934.682630136958</v>
      </c>
    </row>
    <row r="19" spans="1:28" x14ac:dyDescent="0.3">
      <c r="A19" s="34"/>
      <c r="F19" s="4">
        <f t="shared" ref="F19:W19" si="13">SUM(F16:F18)</f>
        <v>0</v>
      </c>
      <c r="G19" s="4">
        <f t="shared" si="13"/>
        <v>563318.07999999996</v>
      </c>
      <c r="H19" s="4">
        <f t="shared" si="13"/>
        <v>18298.878246575343</v>
      </c>
      <c r="I19" s="4">
        <f t="shared" si="13"/>
        <v>45747.195616438359</v>
      </c>
      <c r="J19" s="4">
        <f t="shared" si="13"/>
        <v>47272.102136986301</v>
      </c>
      <c r="K19" s="4">
        <f t="shared" si="13"/>
        <v>45747.195616438359</v>
      </c>
      <c r="L19" s="4">
        <f t="shared" si="13"/>
        <v>47272.102136986301</v>
      </c>
      <c r="M19" s="4">
        <f t="shared" si="13"/>
        <v>47364.255561643833</v>
      </c>
      <c r="N19" s="4">
        <f t="shared" si="13"/>
        <v>44756.778958904106</v>
      </c>
      <c r="O19" s="4">
        <f t="shared" si="13"/>
        <v>47843.453369863011</v>
      </c>
      <c r="P19" s="4">
        <f t="shared" si="13"/>
        <v>46300.116164383566</v>
      </c>
      <c r="Q19" s="4">
        <f t="shared" si="13"/>
        <v>47843.453369863011</v>
      </c>
      <c r="R19" s="4">
        <f t="shared" si="13"/>
        <v>46300.116164383566</v>
      </c>
      <c r="S19" s="4">
        <f t="shared" si="13"/>
        <v>47843.453369863011</v>
      </c>
      <c r="T19" s="29">
        <f t="shared" si="13"/>
        <v>532589.1007123288</v>
      </c>
      <c r="U19" s="4">
        <f t="shared" si="13"/>
        <v>30728.97928767126</v>
      </c>
      <c r="V19" s="4">
        <f t="shared" si="13"/>
        <v>145119.6459706618</v>
      </c>
      <c r="W19" s="15">
        <f t="shared" si="13"/>
        <v>8373.018879474459</v>
      </c>
      <c r="AA19" s="4">
        <f>SUM(AA17:AA18)</f>
        <v>49747</v>
      </c>
      <c r="AB19" s="27">
        <f>U19-AA19</f>
        <v>-19018.02071232874</v>
      </c>
    </row>
    <row r="20" spans="1:28" x14ac:dyDescent="0.3">
      <c r="A20" s="34"/>
      <c r="F20" s="4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29"/>
      <c r="U20" s="4"/>
      <c r="V20" s="4"/>
      <c r="W20" s="15"/>
      <c r="AA20" s="4"/>
      <c r="AB20" s="56" t="s">
        <v>34</v>
      </c>
    </row>
    <row r="21" spans="1:28" x14ac:dyDescent="0.3">
      <c r="A21" s="34"/>
      <c r="F21" s="4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9"/>
      <c r="U21" s="4"/>
      <c r="V21" s="4"/>
      <c r="W21" s="15"/>
      <c r="AA21" s="4"/>
    </row>
    <row r="22" spans="1:28" ht="14.4" thickBot="1" x14ac:dyDescent="0.35">
      <c r="A22" s="22"/>
      <c r="B22" s="23" t="s">
        <v>9</v>
      </c>
      <c r="C22" s="24"/>
      <c r="D22" s="24"/>
      <c r="E22" s="24"/>
      <c r="F22" s="25">
        <f t="shared" ref="F22:U22" si="14">F14+F9+F19</f>
        <v>0</v>
      </c>
      <c r="G22" s="25">
        <f t="shared" si="14"/>
        <v>583603.07999999996</v>
      </c>
      <c r="H22" s="25">
        <f t="shared" si="14"/>
        <v>18298.878246575343</v>
      </c>
      <c r="I22" s="25">
        <f t="shared" si="14"/>
        <v>45747.195616438359</v>
      </c>
      <c r="J22" s="25">
        <f t="shared" si="14"/>
        <v>47272.102136986301</v>
      </c>
      <c r="K22" s="25">
        <f t="shared" si="14"/>
        <v>45747.195616438359</v>
      </c>
      <c r="L22" s="25">
        <f t="shared" si="14"/>
        <v>47272.102136986301</v>
      </c>
      <c r="M22" s="25">
        <f t="shared" si="14"/>
        <v>47364.255561643833</v>
      </c>
      <c r="N22" s="25">
        <f t="shared" si="14"/>
        <v>44756.778958904106</v>
      </c>
      <c r="O22" s="25">
        <f t="shared" si="14"/>
        <v>47843.453369863011</v>
      </c>
      <c r="P22" s="25">
        <f t="shared" si="14"/>
        <v>46967.020273972608</v>
      </c>
      <c r="Q22" s="25">
        <f t="shared" si="14"/>
        <v>49566.28898630137</v>
      </c>
      <c r="R22" s="25">
        <f t="shared" si="14"/>
        <v>47967.376438356172</v>
      </c>
      <c r="S22" s="25">
        <f t="shared" si="14"/>
        <v>49566.28898630137</v>
      </c>
      <c r="T22" s="30">
        <f t="shared" si="14"/>
        <v>538368.9363287671</v>
      </c>
      <c r="U22" s="25">
        <f t="shared" si="14"/>
        <v>45234.143671232901</v>
      </c>
      <c r="V22" s="25" t="e">
        <f>V14+V9+V19+#REF!</f>
        <v>#REF!</v>
      </c>
      <c r="W22" s="26" t="e">
        <f>W14+W9+W19+#REF!</f>
        <v>#REF!</v>
      </c>
      <c r="X22" s="1" t="e">
        <f>X14+X9+X19+#REF!</f>
        <v>#REF!</v>
      </c>
      <c r="Y22" s="1" t="e">
        <f>Y14+Y9+Y19+#REF!</f>
        <v>#REF!</v>
      </c>
      <c r="Z22" s="23"/>
      <c r="AA22" s="25">
        <f>AA14+AA9+AA19</f>
        <v>66154</v>
      </c>
      <c r="AB22" s="36">
        <f>AB14+AB9+AB19</f>
        <v>-20919.856328767095</v>
      </c>
    </row>
    <row r="23" spans="1:28" ht="14.4" thickTop="1" x14ac:dyDescent="0.3">
      <c r="V23" s="32"/>
      <c r="W23" s="31"/>
    </row>
    <row r="25" spans="1:28" x14ac:dyDescent="0.3">
      <c r="B25" s="45"/>
    </row>
    <row r="26" spans="1:28" x14ac:dyDescent="0.3">
      <c r="B26" s="45"/>
      <c r="T26" s="35"/>
      <c r="U26" s="27"/>
    </row>
    <row r="27" spans="1:28" s="2" customFormat="1" x14ac:dyDescent="0.3">
      <c r="A27" s="1"/>
      <c r="B27" s="47"/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"/>
      <c r="U27" s="1"/>
      <c r="V27" s="1"/>
      <c r="W27" s="5"/>
      <c r="X27" s="1"/>
      <c r="Y27" s="1"/>
      <c r="Z27" s="48"/>
      <c r="AA27" s="1"/>
    </row>
    <row r="28" spans="1:28" s="2" customFormat="1" x14ac:dyDescent="0.3">
      <c r="A28" s="1"/>
      <c r="B28" s="33"/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"/>
      <c r="U28" s="1"/>
      <c r="V28" s="1"/>
      <c r="W28" s="5"/>
      <c r="X28" s="1"/>
      <c r="Y28" s="1"/>
      <c r="Z28" s="33"/>
      <c r="AA28" s="1"/>
    </row>
    <row r="29" spans="1:28" s="2" customFormat="1" x14ac:dyDescent="0.3">
      <c r="A29" s="1"/>
      <c r="B29" s="33"/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"/>
      <c r="U29" s="1"/>
      <c r="V29" s="1"/>
      <c r="W29" s="5"/>
      <c r="X29" s="1"/>
      <c r="Y29" s="1"/>
      <c r="Z29" s="33"/>
      <c r="AA29" s="1"/>
    </row>
    <row r="30" spans="1:28" s="2" customFormat="1" x14ac:dyDescent="0.3">
      <c r="A30" s="1"/>
      <c r="B30" s="1"/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1"/>
      <c r="U30" s="1"/>
      <c r="V30" s="1"/>
      <c r="W30" s="5"/>
      <c r="X30" s="1"/>
      <c r="Y30" s="1"/>
      <c r="Z30" s="1"/>
      <c r="AA30" s="1"/>
    </row>
    <row r="31" spans="1:28" s="2" customFormat="1" x14ac:dyDescent="0.3">
      <c r="A31" s="1"/>
      <c r="B31" s="47"/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"/>
      <c r="U31" s="1"/>
      <c r="V31" s="1"/>
      <c r="W31" s="5"/>
      <c r="X31" s="1"/>
      <c r="Y31" s="1"/>
      <c r="Z31" s="48"/>
      <c r="AA31" s="1"/>
    </row>
    <row r="32" spans="1:28" s="2" customFormat="1" x14ac:dyDescent="0.3">
      <c r="A32" s="1"/>
      <c r="B32" s="46"/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"/>
      <c r="U32" s="1"/>
      <c r="V32" s="1"/>
      <c r="W32" s="5"/>
      <c r="X32" s="1"/>
      <c r="Y32" s="1"/>
      <c r="Z32" s="48"/>
      <c r="AA32" s="1"/>
    </row>
    <row r="33" spans="1:27" s="2" customFormat="1" x14ac:dyDescent="0.3">
      <c r="A33" s="1"/>
      <c r="B33" s="46"/>
      <c r="F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"/>
      <c r="U33" s="1"/>
      <c r="V33" s="1"/>
      <c r="W33" s="5"/>
      <c r="X33" s="1"/>
      <c r="Y33" s="1"/>
      <c r="Z33" s="48"/>
      <c r="AA33" s="1"/>
    </row>
    <row r="34" spans="1:27" s="2" customFormat="1" x14ac:dyDescent="0.3">
      <c r="A34" s="1"/>
      <c r="B34" s="46"/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"/>
      <c r="U34" s="1"/>
      <c r="V34" s="1"/>
      <c r="W34" s="5"/>
      <c r="X34" s="1"/>
      <c r="Y34" s="1"/>
      <c r="Z34" s="48"/>
      <c r="AA34" s="1"/>
    </row>
    <row r="35" spans="1:27" s="2" customFormat="1" x14ac:dyDescent="0.3">
      <c r="A35" s="1"/>
      <c r="B35" s="1"/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1"/>
      <c r="U35" s="1"/>
      <c r="V35" s="1"/>
      <c r="W35" s="5"/>
      <c r="X35" s="1"/>
      <c r="Y35" s="1"/>
      <c r="Z35" s="1"/>
      <c r="AA35" s="1"/>
    </row>
  </sheetData>
  <mergeCells count="12">
    <mergeCell ref="Z4:Z5"/>
    <mergeCell ref="A4:A5"/>
    <mergeCell ref="B4:B5"/>
    <mergeCell ref="C4:C5"/>
    <mergeCell ref="D4:D5"/>
    <mergeCell ref="G4:G5"/>
    <mergeCell ref="H4:L4"/>
    <mergeCell ref="M4:S4"/>
    <mergeCell ref="T4:T5"/>
    <mergeCell ref="U4:U5"/>
    <mergeCell ref="V4:V5"/>
    <mergeCell ref="W4:W5"/>
  </mergeCells>
  <printOptions horizontalCentered="1" verticalCentered="1" gridLines="1"/>
  <pageMargins left="0.25" right="0.25" top="0.5" bottom="0.5" header="0.31496062992126" footer="0.31496062992126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</vt:lpstr>
      <vt:lpstr>'2025'!Print_Area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2026-02-04T11:27:53Z</dcterms:modified>
</cp:coreProperties>
</file>