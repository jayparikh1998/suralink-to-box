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zkhamosi\Box\Lotta Logistics DMCC\Audit\2024\Client\T - Sales and cost of sales\"/>
    </mc:Choice>
  </mc:AlternateContent>
  <xr:revisionPtr revIDLastSave="0" documentId="13_ncr:1_{5A6B032D-DCD4-4B79-81B6-000E6E3CCDCB}" xr6:coauthVersionLast="47" xr6:coauthVersionMax="47" xr10:uidLastSave="{00000000-0000-0000-0000-000000000000}"/>
  <bookViews>
    <workbookView xWindow="-108" yWindow="-108" windowWidth="23256" windowHeight="12456" xr2:uid="{87338AA5-21AC-4837-80BD-207FFBCE982E}"/>
  </bookViews>
  <sheets>
    <sheet name="SALES" sheetId="1" r:id="rId1"/>
  </sheets>
  <definedNames>
    <definedName name="_xlnm._FilterDatabase" localSheetId="0" hidden="1">SALES!$A$2:$Q$61</definedName>
    <definedName name="_xlnm.Print_Area" localSheetId="0">SALES!$A$1:$P$65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1" l="1"/>
  <c r="L59" i="1" l="1"/>
  <c r="A5" i="1"/>
  <c r="A3" i="1"/>
  <c r="J59" i="1"/>
  <c r="L61" i="1"/>
  <c r="L51" i="1"/>
  <c r="L45" i="1"/>
  <c r="L58" i="1"/>
  <c r="L57" i="1"/>
  <c r="L56" i="1"/>
  <c r="L55" i="1"/>
  <c r="L50" i="1"/>
  <c r="L49" i="1"/>
  <c r="L48" i="1"/>
  <c r="L47" i="1"/>
  <c r="L46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A6" i="1" l="1"/>
  <c r="L52" i="1"/>
  <c r="A8" i="1" l="1"/>
  <c r="A10" i="1" l="1"/>
  <c r="A11" i="1"/>
  <c r="A17" i="1" l="1"/>
  <c r="A19" i="1" s="1"/>
  <c r="A20" i="1" l="1"/>
  <c r="A21" i="1"/>
  <c r="A22" i="1" l="1"/>
  <c r="A27" i="1" l="1"/>
  <c r="A29" i="1"/>
  <c r="A32" i="1" s="1"/>
  <c r="A33" i="1" s="1"/>
  <c r="A36" i="1" l="1"/>
  <c r="A37" i="1" s="1"/>
  <c r="A38" i="1" s="1"/>
  <c r="A39" i="1" l="1"/>
  <c r="A40" i="1" s="1"/>
  <c r="A41" i="1" s="1"/>
  <c r="A44" i="1" s="1"/>
  <c r="A45" i="1" s="1"/>
  <c r="A47" i="1" s="1"/>
  <c r="A50" i="1" l="1"/>
  <c r="A51" i="1" s="1"/>
  <c r="A55" i="1" s="1"/>
  <c r="A56" i="1" s="1"/>
</calcChain>
</file>

<file path=xl/sharedStrings.xml><?xml version="1.0" encoding="utf-8"?>
<sst xmlns="http://schemas.openxmlformats.org/spreadsheetml/2006/main" count="355" uniqueCount="84">
  <si>
    <t>SR no</t>
  </si>
  <si>
    <t xml:space="preserve">Invoice Date </t>
  </si>
  <si>
    <t>Inv Reference no.</t>
  </si>
  <si>
    <t>Customer</t>
  </si>
  <si>
    <t>Description of goods/services</t>
  </si>
  <si>
    <t>Type of Transaction (Local/Export)</t>
  </si>
  <si>
    <t>Location</t>
  </si>
  <si>
    <t>TRN number</t>
  </si>
  <si>
    <t>CY</t>
  </si>
  <si>
    <t>Amount</t>
  </si>
  <si>
    <t>FC Rate</t>
  </si>
  <si>
    <t>Amount in AED</t>
  </si>
  <si>
    <t>VAT Rate</t>
  </si>
  <si>
    <t>VAT Amount (AED)</t>
  </si>
  <si>
    <t xml:space="preserve">Total in AED </t>
  </si>
  <si>
    <t>Payment Date</t>
  </si>
  <si>
    <t>CONTINENT LOGISTICS LLC</t>
  </si>
  <si>
    <t>TRANSPORTATION SERVICES</t>
  </si>
  <si>
    <t>EXPORT</t>
  </si>
  <si>
    <t>KAZAKHSTAN</t>
  </si>
  <si>
    <t>USD</t>
  </si>
  <si>
    <t>F01-2024</t>
  </si>
  <si>
    <t>F02-2024</t>
  </si>
  <si>
    <t>F03-2024</t>
  </si>
  <si>
    <t>F04-2024</t>
  </si>
  <si>
    <t>F05-2024</t>
  </si>
  <si>
    <t>F06-2024</t>
  </si>
  <si>
    <t>F07-2024</t>
  </si>
  <si>
    <t>F08-2024</t>
  </si>
  <si>
    <t>RAIL TRANS UNION LLC</t>
  </si>
  <si>
    <t>TRANSPORT FREIGHT SERVICE</t>
  </si>
  <si>
    <t>UAE</t>
  </si>
  <si>
    <t>F09-2024</t>
  </si>
  <si>
    <t>F10-2024</t>
  </si>
  <si>
    <t>F11-2024</t>
  </si>
  <si>
    <t>F12-2024</t>
  </si>
  <si>
    <t>F13-2024</t>
  </si>
  <si>
    <t>F14-2024</t>
  </si>
  <si>
    <t>F15-2024</t>
  </si>
  <si>
    <t>F16-2024</t>
  </si>
  <si>
    <t>F17-2024</t>
  </si>
  <si>
    <t>001F/2024/RTU</t>
  </si>
  <si>
    <t>002F/2024/RTU</t>
  </si>
  <si>
    <t>003F/2024/RTU</t>
  </si>
  <si>
    <t>F18-2024</t>
  </si>
  <si>
    <t>F19-2024</t>
  </si>
  <si>
    <t>F20-2024</t>
  </si>
  <si>
    <t>F21-2024</t>
  </si>
  <si>
    <t>F22-2024</t>
  </si>
  <si>
    <t>F23-2024</t>
  </si>
  <si>
    <t>F24-2024</t>
  </si>
  <si>
    <t>F25-2024</t>
  </si>
  <si>
    <t>F26-2024</t>
  </si>
  <si>
    <t>F27-2024</t>
  </si>
  <si>
    <t>F28-2024</t>
  </si>
  <si>
    <t>F29-2024</t>
  </si>
  <si>
    <t>F30-2024</t>
  </si>
  <si>
    <t>F31-2024</t>
  </si>
  <si>
    <t>F32-2024</t>
  </si>
  <si>
    <t>004F/2024/RTU</t>
  </si>
  <si>
    <t>005F/2024/RTU</t>
  </si>
  <si>
    <t>006F/2024/RTU</t>
  </si>
  <si>
    <t>F33-2024</t>
  </si>
  <si>
    <t>October 2024 service</t>
  </si>
  <si>
    <t>F34-2024</t>
  </si>
  <si>
    <t>F35-2024</t>
  </si>
  <si>
    <t>November 2024 service</t>
  </si>
  <si>
    <t>F36-2024</t>
  </si>
  <si>
    <t>F37-2024</t>
  </si>
  <si>
    <t>F38-2024</t>
  </si>
  <si>
    <t>F39-2024</t>
  </si>
  <si>
    <t>December 2024 service</t>
  </si>
  <si>
    <t>F40-2024</t>
  </si>
  <si>
    <t>F41-2024</t>
  </si>
  <si>
    <t>F42-2024</t>
  </si>
  <si>
    <t>F43-2024</t>
  </si>
  <si>
    <t>F1-2025</t>
  </si>
  <si>
    <t>January 2024 service</t>
  </si>
  <si>
    <t>F2-2025</t>
  </si>
  <si>
    <t>007F/2024/RTU</t>
  </si>
  <si>
    <t>008F/2024/RTU</t>
  </si>
  <si>
    <t>001F/2025/RTU</t>
  </si>
  <si>
    <t>Sales</t>
  </si>
  <si>
    <t>Unbilled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</si>
</sst>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AED&quot;* #,##0.00_-;\-&quot;AED&quot;* #,##0.00_-;_-&quot;AED&quot;* &quot;-&quot;??_-;_-@_-"/>
    <numFmt numFmtId="165" formatCode="[$-3409]dd\-mmm\-yy;@"/>
    <numFmt numFmtId="166" formatCode="_([$USD]\ * #,##0.00_);_([$USD]\ * \(#,##0.00\);_([$USD]\ 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0" fillId="3" borderId="0" xfId="0" applyFill="1"/>
    <xf numFmtId="0" fontId="1" fillId="2" borderId="2" xfId="0" applyFont="1" applyFill="1" applyBorder="1"/>
    <xf numFmtId="165" fontId="1" fillId="2" borderId="3" xfId="0" applyNumberFormat="1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166" fontId="1" fillId="2" borderId="3" xfId="0" applyNumberFormat="1" applyFont="1" applyFill="1" applyBorder="1" applyAlignment="1">
      <alignment wrapText="1"/>
    </xf>
    <xf numFmtId="164" fontId="1" fillId="2" borderId="3" xfId="0" applyNumberFormat="1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3" borderId="1" xfId="0" applyFill="1" applyBorder="1"/>
    <xf numFmtId="165" fontId="0" fillId="3" borderId="1" xfId="0" applyNumberFormat="1" applyFill="1" applyBorder="1"/>
    <xf numFmtId="0" fontId="3" fillId="3" borderId="1" xfId="0" applyFont="1" applyFill="1" applyBorder="1"/>
    <xf numFmtId="166" fontId="0" fillId="3" borderId="1" xfId="0" applyNumberFormat="1" applyFill="1" applyBorder="1"/>
    <xf numFmtId="164" fontId="0" fillId="3" borderId="1" xfId="0" applyNumberFormat="1" applyFill="1" applyBorder="1"/>
    <xf numFmtId="164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B443-3FBF-4409-B49F-F54FA0A4D7C4}">
  <sheetPr>
    <tabColor rgb="FFCC99FF"/>
    <pageSetUpPr fitToPage="1"/>
  </sheetPr>
  <dimension ref="A1:T64"/>
  <sheetViews>
    <sheetView tabSelected="1" view="pageBreakPreview" zoomScale="60" zoomScaleNormal="85" workbookViewId="0">
      <pane ySplit="2" topLeftCell="A29" activePane="bottomLeft" state="frozen"/>
      <selection pane="bottomLeft" activeCell="N63" sqref="N63"/>
    </sheetView>
  </sheetViews>
  <sheetFormatPr defaultRowHeight="14.4" x14ac:dyDescent="0.3"/>
  <cols>
    <col min="1" max="1" width="8.33203125" bestFit="1" customWidth="1"/>
    <col min="2" max="2" width="14.6640625" style="5" customWidth="1"/>
    <col min="3" max="3" width="17.109375" customWidth="1"/>
    <col min="4" max="4" width="23.88671875" customWidth="1"/>
    <col min="5" max="5" width="31.109375" style="2" customWidth="1"/>
    <col min="6" max="6" width="18.44140625" customWidth="1"/>
    <col min="7" max="7" width="15.109375" customWidth="1"/>
    <col min="8" max="8" width="17.5546875" customWidth="1"/>
    <col min="9" max="9" width="11.6640625" customWidth="1"/>
    <col min="10" max="10" width="22.6640625" style="3" bestFit="1" customWidth="1"/>
    <col min="11" max="11" width="11.5546875" customWidth="1"/>
    <col min="12" max="12" width="24.21875" style="4" bestFit="1" customWidth="1"/>
    <col min="13" max="13" width="15.33203125" customWidth="1"/>
    <col min="14" max="14" width="12" customWidth="1"/>
    <col min="15" max="15" width="15.109375" customWidth="1"/>
    <col min="16" max="16" width="14.88671875" customWidth="1"/>
    <col min="17" max="20" width="13" customWidth="1"/>
    <col min="21" max="22" width="11" bestFit="1" customWidth="1"/>
  </cols>
  <sheetData>
    <row r="1" spans="1:20" x14ac:dyDescent="0.3">
      <c r="A1" s="7" t="s">
        <v>82</v>
      </c>
    </row>
    <row r="2" spans="1:20" ht="28.8" x14ac:dyDescent="0.3">
      <c r="A2" s="10" t="s">
        <v>0</v>
      </c>
      <c r="B2" s="11" t="s">
        <v>1</v>
      </c>
      <c r="C2" s="12" t="s">
        <v>2</v>
      </c>
      <c r="D2" s="13" t="s">
        <v>3</v>
      </c>
      <c r="E2" s="14" t="s">
        <v>4</v>
      </c>
      <c r="F2" s="13" t="s">
        <v>5</v>
      </c>
      <c r="G2" s="12" t="s">
        <v>6</v>
      </c>
      <c r="H2" s="13" t="s">
        <v>7</v>
      </c>
      <c r="I2" s="15" t="s">
        <v>8</v>
      </c>
      <c r="J2" s="16" t="s">
        <v>9</v>
      </c>
      <c r="K2" s="13" t="s">
        <v>10</v>
      </c>
      <c r="L2" s="17" t="s">
        <v>11</v>
      </c>
      <c r="M2" s="13" t="s">
        <v>12</v>
      </c>
      <c r="N2" s="13" t="s">
        <v>13</v>
      </c>
      <c r="O2" s="13" t="s">
        <v>14</v>
      </c>
      <c r="P2" s="18" t="s">
        <v>15</v>
      </c>
      <c r="Q2" s="1"/>
      <c r="R2" s="1"/>
      <c r="S2" s="1"/>
      <c r="T2" s="1"/>
    </row>
    <row r="3" spans="1:20" s="9" customFormat="1" x14ac:dyDescent="0.3">
      <c r="A3" s="19">
        <f>MAX($A$2:A2)+1</f>
        <v>1</v>
      </c>
      <c r="B3" s="20">
        <v>45322</v>
      </c>
      <c r="C3" s="19" t="s">
        <v>21</v>
      </c>
      <c r="D3" s="19" t="s">
        <v>16</v>
      </c>
      <c r="E3" s="21" t="s">
        <v>17</v>
      </c>
      <c r="F3" s="19" t="s">
        <v>18</v>
      </c>
      <c r="G3" s="19" t="s">
        <v>19</v>
      </c>
      <c r="H3" s="19"/>
      <c r="I3" s="19" t="s">
        <v>20</v>
      </c>
      <c r="J3" s="22">
        <v>183346.55</v>
      </c>
      <c r="K3" s="19">
        <v>3.6724999999999999</v>
      </c>
      <c r="L3" s="23">
        <f t="shared" ref="L3:L4" si="0">J3*3.6725</f>
        <v>673340.20487499994</v>
      </c>
      <c r="M3" s="19"/>
      <c r="N3" s="19"/>
      <c r="O3" s="19"/>
      <c r="P3" s="19"/>
    </row>
    <row r="4" spans="1:20" x14ac:dyDescent="0.3">
      <c r="B4" s="5">
        <v>45322</v>
      </c>
      <c r="C4" t="s">
        <v>22</v>
      </c>
      <c r="D4" t="s">
        <v>16</v>
      </c>
      <c r="E4" s="2" t="s">
        <v>17</v>
      </c>
      <c r="F4" t="s">
        <v>18</v>
      </c>
      <c r="G4" t="s">
        <v>19</v>
      </c>
      <c r="I4" t="s">
        <v>20</v>
      </c>
      <c r="J4" s="3">
        <v>18802.36</v>
      </c>
      <c r="K4">
        <v>3.6724999999999999</v>
      </c>
      <c r="L4" s="4">
        <f t="shared" si="0"/>
        <v>69051.667100000006</v>
      </c>
    </row>
    <row r="5" spans="1:20" s="9" customFormat="1" x14ac:dyDescent="0.3">
      <c r="A5" s="19">
        <f>MAX($A$2:A4)+1</f>
        <v>2</v>
      </c>
      <c r="B5" s="20">
        <v>45351</v>
      </c>
      <c r="C5" s="19" t="s">
        <v>23</v>
      </c>
      <c r="D5" s="19" t="s">
        <v>16</v>
      </c>
      <c r="E5" s="21" t="s">
        <v>17</v>
      </c>
      <c r="F5" s="19" t="s">
        <v>18</v>
      </c>
      <c r="G5" s="19" t="s">
        <v>19</v>
      </c>
      <c r="H5" s="19"/>
      <c r="I5" s="19" t="s">
        <v>20</v>
      </c>
      <c r="J5" s="22">
        <v>208905.84</v>
      </c>
      <c r="K5" s="19">
        <v>3.6724999999999999</v>
      </c>
      <c r="L5" s="23">
        <f t="shared" ref="L5:L10" si="1">J5*3.6725</f>
        <v>767206.69739999995</v>
      </c>
      <c r="M5" s="19"/>
      <c r="N5" s="19"/>
      <c r="O5" s="19"/>
      <c r="P5" s="19"/>
    </row>
    <row r="6" spans="1:20" s="9" customFormat="1" x14ac:dyDescent="0.3">
      <c r="A6" s="19">
        <f>MAX($A$2:A5)+1</f>
        <v>3</v>
      </c>
      <c r="B6" s="20">
        <v>45351</v>
      </c>
      <c r="C6" s="19" t="s">
        <v>24</v>
      </c>
      <c r="D6" s="19" t="s">
        <v>16</v>
      </c>
      <c r="E6" s="21" t="s">
        <v>17</v>
      </c>
      <c r="F6" s="19" t="s">
        <v>18</v>
      </c>
      <c r="G6" s="19" t="s">
        <v>19</v>
      </c>
      <c r="H6" s="19"/>
      <c r="I6" s="19" t="s">
        <v>20</v>
      </c>
      <c r="J6" s="22">
        <v>149646.48000000001</v>
      </c>
      <c r="K6" s="19">
        <v>3.6724999999999999</v>
      </c>
      <c r="L6" s="23">
        <f t="shared" si="1"/>
        <v>549576.69779999997</v>
      </c>
      <c r="M6" s="19"/>
      <c r="N6" s="19"/>
      <c r="O6" s="19"/>
      <c r="P6" s="19"/>
    </row>
    <row r="7" spans="1:20" x14ac:dyDescent="0.3">
      <c r="B7" s="5">
        <v>45382</v>
      </c>
      <c r="C7" t="s">
        <v>25</v>
      </c>
      <c r="D7" t="s">
        <v>16</v>
      </c>
      <c r="E7" s="2" t="s">
        <v>17</v>
      </c>
      <c r="F7" t="s">
        <v>18</v>
      </c>
      <c r="G7" t="s">
        <v>19</v>
      </c>
      <c r="I7" t="s">
        <v>20</v>
      </c>
      <c r="J7" s="3">
        <v>53817.82</v>
      </c>
      <c r="K7">
        <v>3.6724999999999999</v>
      </c>
      <c r="L7" s="4">
        <f t="shared" si="1"/>
        <v>197645.94394999999</v>
      </c>
    </row>
    <row r="8" spans="1:20" s="9" customFormat="1" x14ac:dyDescent="0.3">
      <c r="A8" s="19">
        <f>MAX($A$2:A7)+1</f>
        <v>4</v>
      </c>
      <c r="B8" s="20">
        <v>45382</v>
      </c>
      <c r="C8" s="19" t="s">
        <v>26</v>
      </c>
      <c r="D8" s="19" t="s">
        <v>16</v>
      </c>
      <c r="E8" s="21" t="s">
        <v>17</v>
      </c>
      <c r="F8" s="19" t="s">
        <v>18</v>
      </c>
      <c r="G8" s="19" t="s">
        <v>19</v>
      </c>
      <c r="H8" s="19"/>
      <c r="I8" s="19" t="s">
        <v>20</v>
      </c>
      <c r="J8" s="22">
        <v>202601.46</v>
      </c>
      <c r="K8" s="19">
        <v>3.6724999999999999</v>
      </c>
      <c r="L8" s="23">
        <f t="shared" si="1"/>
        <v>744053.86184999999</v>
      </c>
      <c r="M8" s="19"/>
      <c r="N8" s="19"/>
      <c r="O8" s="19"/>
      <c r="P8" s="19"/>
    </row>
    <row r="9" spans="1:20" x14ac:dyDescent="0.3">
      <c r="B9" s="5">
        <v>45412</v>
      </c>
      <c r="C9" t="s">
        <v>27</v>
      </c>
      <c r="D9" t="s">
        <v>16</v>
      </c>
      <c r="E9" s="2" t="s">
        <v>17</v>
      </c>
      <c r="F9" t="s">
        <v>18</v>
      </c>
      <c r="G9" t="s">
        <v>19</v>
      </c>
      <c r="I9" t="s">
        <v>20</v>
      </c>
      <c r="J9" s="3">
        <v>20572.25</v>
      </c>
      <c r="K9">
        <v>3.6724999999999999</v>
      </c>
      <c r="L9" s="4">
        <f t="shared" si="1"/>
        <v>75551.588124999995</v>
      </c>
    </row>
    <row r="10" spans="1:20" s="9" customFormat="1" x14ac:dyDescent="0.3">
      <c r="A10" s="19">
        <f>MAX($A$2:A9)+1</f>
        <v>5</v>
      </c>
      <c r="B10" s="20">
        <v>45412</v>
      </c>
      <c r="C10" s="19" t="s">
        <v>28</v>
      </c>
      <c r="D10" s="19" t="s">
        <v>16</v>
      </c>
      <c r="E10" s="21" t="s">
        <v>17</v>
      </c>
      <c r="F10" s="19" t="s">
        <v>18</v>
      </c>
      <c r="G10" s="19" t="s">
        <v>19</v>
      </c>
      <c r="H10" s="19"/>
      <c r="I10" s="19" t="s">
        <v>20</v>
      </c>
      <c r="J10" s="22">
        <v>102073.42</v>
      </c>
      <c r="K10" s="19">
        <v>3.6724999999999999</v>
      </c>
      <c r="L10" s="23">
        <f t="shared" si="1"/>
        <v>374864.63494999998</v>
      </c>
      <c r="M10" s="19"/>
      <c r="N10" s="19"/>
      <c r="O10" s="19"/>
      <c r="P10" s="19"/>
    </row>
    <row r="11" spans="1:20" s="9" customFormat="1" x14ac:dyDescent="0.3">
      <c r="A11" s="19">
        <f>MAX($A$2:A10)+1</f>
        <v>6</v>
      </c>
      <c r="B11" s="20">
        <v>45443</v>
      </c>
      <c r="C11" s="19" t="s">
        <v>32</v>
      </c>
      <c r="D11" s="19" t="s">
        <v>16</v>
      </c>
      <c r="E11" s="21" t="s">
        <v>17</v>
      </c>
      <c r="F11" s="19" t="s">
        <v>18</v>
      </c>
      <c r="G11" s="19" t="s">
        <v>19</v>
      </c>
      <c r="H11" s="19"/>
      <c r="I11" s="19" t="s">
        <v>20</v>
      </c>
      <c r="J11" s="22">
        <v>67253.350000000006</v>
      </c>
      <c r="K11" s="19">
        <v>3.6724999999999999</v>
      </c>
      <c r="L11" s="23">
        <f t="shared" ref="L11:L19" si="2">J11*3.6725</f>
        <v>246987.92787500002</v>
      </c>
      <c r="M11" s="19"/>
      <c r="N11" s="19"/>
      <c r="O11" s="19"/>
      <c r="P11" s="19"/>
    </row>
    <row r="12" spans="1:20" x14ac:dyDescent="0.3">
      <c r="B12" s="5">
        <v>45443</v>
      </c>
      <c r="C12" t="s">
        <v>33</v>
      </c>
      <c r="D12" t="s">
        <v>16</v>
      </c>
      <c r="E12" s="2" t="s">
        <v>17</v>
      </c>
      <c r="F12" t="s">
        <v>18</v>
      </c>
      <c r="G12" t="s">
        <v>19</v>
      </c>
      <c r="I12" t="s">
        <v>20</v>
      </c>
      <c r="J12" s="3">
        <v>36618.39</v>
      </c>
      <c r="K12">
        <v>3.6724999999999999</v>
      </c>
      <c r="L12" s="4">
        <f t="shared" si="2"/>
        <v>134481.03727499998</v>
      </c>
    </row>
    <row r="13" spans="1:20" x14ac:dyDescent="0.3">
      <c r="B13" s="5">
        <v>45473</v>
      </c>
      <c r="C13" t="s">
        <v>34</v>
      </c>
      <c r="D13" t="s">
        <v>16</v>
      </c>
      <c r="E13" s="2" t="s">
        <v>17</v>
      </c>
      <c r="F13" t="s">
        <v>18</v>
      </c>
      <c r="G13" t="s">
        <v>19</v>
      </c>
      <c r="I13" t="s">
        <v>20</v>
      </c>
      <c r="J13" s="3">
        <v>3390.81</v>
      </c>
      <c r="K13">
        <v>3.6724999999999999</v>
      </c>
      <c r="L13" s="4">
        <f t="shared" si="2"/>
        <v>12452.749725</v>
      </c>
    </row>
    <row r="14" spans="1:20" x14ac:dyDescent="0.3">
      <c r="B14" s="5">
        <v>45473</v>
      </c>
      <c r="C14" t="s">
        <v>35</v>
      </c>
      <c r="D14" t="s">
        <v>16</v>
      </c>
      <c r="E14" s="2" t="s">
        <v>17</v>
      </c>
      <c r="F14" t="s">
        <v>18</v>
      </c>
      <c r="G14" t="s">
        <v>19</v>
      </c>
      <c r="I14" t="s">
        <v>20</v>
      </c>
      <c r="J14" s="3">
        <v>4411.54</v>
      </c>
      <c r="K14">
        <v>3.6724999999999999</v>
      </c>
      <c r="L14" s="4">
        <f t="shared" si="2"/>
        <v>16201.380649999999</v>
      </c>
    </row>
    <row r="15" spans="1:20" x14ac:dyDescent="0.3">
      <c r="B15" s="5">
        <v>45473</v>
      </c>
      <c r="C15" t="s">
        <v>36</v>
      </c>
      <c r="D15" t="s">
        <v>16</v>
      </c>
      <c r="E15" s="2" t="s">
        <v>17</v>
      </c>
      <c r="F15" t="s">
        <v>18</v>
      </c>
      <c r="G15" t="s">
        <v>19</v>
      </c>
      <c r="I15" t="s">
        <v>20</v>
      </c>
      <c r="J15" s="3">
        <v>5178.32</v>
      </c>
      <c r="K15">
        <v>3.6724999999999999</v>
      </c>
      <c r="L15" s="4">
        <f t="shared" si="2"/>
        <v>19017.3802</v>
      </c>
    </row>
    <row r="16" spans="1:20" x14ac:dyDescent="0.3">
      <c r="B16" s="5">
        <v>45504</v>
      </c>
      <c r="C16" t="s">
        <v>37</v>
      </c>
      <c r="D16" t="s">
        <v>16</v>
      </c>
      <c r="E16" s="2" t="s">
        <v>17</v>
      </c>
      <c r="F16" t="s">
        <v>18</v>
      </c>
      <c r="G16" t="s">
        <v>19</v>
      </c>
      <c r="I16" t="s">
        <v>20</v>
      </c>
      <c r="J16" s="3">
        <v>2700</v>
      </c>
      <c r="K16">
        <v>3.6724999999999999</v>
      </c>
      <c r="L16" s="4">
        <f t="shared" si="2"/>
        <v>9915.75</v>
      </c>
    </row>
    <row r="17" spans="1:16" s="9" customFormat="1" x14ac:dyDescent="0.3">
      <c r="A17" s="19">
        <f>MAX($A$2:A16)+1</f>
        <v>7</v>
      </c>
      <c r="B17" s="20">
        <v>45504</v>
      </c>
      <c r="C17" s="19" t="s">
        <v>38</v>
      </c>
      <c r="D17" s="19" t="s">
        <v>16</v>
      </c>
      <c r="E17" s="21" t="s">
        <v>17</v>
      </c>
      <c r="F17" s="19" t="s">
        <v>18</v>
      </c>
      <c r="G17" s="19" t="s">
        <v>19</v>
      </c>
      <c r="H17" s="19"/>
      <c r="I17" s="19" t="s">
        <v>20</v>
      </c>
      <c r="J17" s="22">
        <v>124940.56</v>
      </c>
      <c r="K17" s="19">
        <v>3.6724999999999999</v>
      </c>
      <c r="L17" s="23">
        <f t="shared" si="2"/>
        <v>458844.20659999998</v>
      </c>
      <c r="M17" s="19"/>
      <c r="N17" s="19"/>
      <c r="O17" s="19"/>
      <c r="P17" s="19"/>
    </row>
    <row r="18" spans="1:16" x14ac:dyDescent="0.3">
      <c r="B18" s="5">
        <v>45504</v>
      </c>
      <c r="C18" t="s">
        <v>39</v>
      </c>
      <c r="D18" t="s">
        <v>16</v>
      </c>
      <c r="E18" s="2" t="s">
        <v>17</v>
      </c>
      <c r="F18" t="s">
        <v>18</v>
      </c>
      <c r="G18" t="s">
        <v>19</v>
      </c>
      <c r="I18" t="s">
        <v>20</v>
      </c>
      <c r="J18" s="3">
        <v>5270.58</v>
      </c>
      <c r="K18">
        <v>3.6724999999999999</v>
      </c>
      <c r="L18" s="4">
        <f t="shared" si="2"/>
        <v>19356.20505</v>
      </c>
    </row>
    <row r="19" spans="1:16" s="9" customFormat="1" x14ac:dyDescent="0.3">
      <c r="A19" s="19">
        <f>MAX($A$2:A18)+1</f>
        <v>8</v>
      </c>
      <c r="B19" s="20">
        <v>45504</v>
      </c>
      <c r="C19" s="19" t="s">
        <v>40</v>
      </c>
      <c r="D19" s="19" t="s">
        <v>16</v>
      </c>
      <c r="E19" s="21" t="s">
        <v>17</v>
      </c>
      <c r="F19" s="19" t="s">
        <v>18</v>
      </c>
      <c r="G19" s="19" t="s">
        <v>19</v>
      </c>
      <c r="H19" s="19"/>
      <c r="I19" s="19" t="s">
        <v>20</v>
      </c>
      <c r="J19" s="22">
        <v>283423.67</v>
      </c>
      <c r="K19" s="19">
        <v>3.6724999999999999</v>
      </c>
      <c r="L19" s="23">
        <f t="shared" si="2"/>
        <v>1040873.4280749999</v>
      </c>
      <c r="M19" s="19"/>
      <c r="N19" s="19"/>
      <c r="O19" s="19"/>
      <c r="P19" s="19"/>
    </row>
    <row r="20" spans="1:16" s="9" customFormat="1" x14ac:dyDescent="0.3">
      <c r="A20" s="19">
        <f>MAX($A$2:A19)+1</f>
        <v>9</v>
      </c>
      <c r="B20" s="20">
        <v>45443</v>
      </c>
      <c r="C20" s="19" t="s">
        <v>41</v>
      </c>
      <c r="D20" s="19" t="s">
        <v>29</v>
      </c>
      <c r="E20" s="21" t="s">
        <v>30</v>
      </c>
      <c r="F20" s="19" t="s">
        <v>18</v>
      </c>
      <c r="G20" s="19" t="s">
        <v>31</v>
      </c>
      <c r="H20" s="19"/>
      <c r="I20" s="19" t="s">
        <v>20</v>
      </c>
      <c r="J20" s="22">
        <v>123509.99</v>
      </c>
      <c r="K20" s="19">
        <v>3.6724999999999999</v>
      </c>
      <c r="L20" s="23">
        <f t="shared" ref="L20:L22" si="3">J20*3.6725</f>
        <v>453590.43827500002</v>
      </c>
      <c r="M20" s="19"/>
      <c r="N20" s="19"/>
      <c r="O20" s="19"/>
      <c r="P20" s="19"/>
    </row>
    <row r="21" spans="1:16" s="9" customFormat="1" x14ac:dyDescent="0.3">
      <c r="A21" s="19">
        <f>MAX($A$2:A20)+1</f>
        <v>10</v>
      </c>
      <c r="B21" s="20">
        <v>45473</v>
      </c>
      <c r="C21" s="19" t="s">
        <v>42</v>
      </c>
      <c r="D21" s="19" t="s">
        <v>29</v>
      </c>
      <c r="E21" s="21" t="s">
        <v>30</v>
      </c>
      <c r="F21" s="19" t="s">
        <v>18</v>
      </c>
      <c r="G21" s="19" t="s">
        <v>31</v>
      </c>
      <c r="H21" s="19"/>
      <c r="I21" s="19" t="s">
        <v>20</v>
      </c>
      <c r="J21" s="22">
        <v>301160.89</v>
      </c>
      <c r="K21" s="19">
        <v>3.6724999999999999</v>
      </c>
      <c r="L21" s="23">
        <f t="shared" si="3"/>
        <v>1106013.3685250001</v>
      </c>
      <c r="M21" s="19"/>
      <c r="N21" s="19"/>
      <c r="O21" s="19"/>
      <c r="P21" s="19"/>
    </row>
    <row r="22" spans="1:16" s="9" customFormat="1" x14ac:dyDescent="0.3">
      <c r="A22" s="19">
        <f>MAX($A$2:A21)+1</f>
        <v>11</v>
      </c>
      <c r="B22" s="20">
        <v>45504</v>
      </c>
      <c r="C22" s="19" t="s">
        <v>43</v>
      </c>
      <c r="D22" s="19" t="s">
        <v>29</v>
      </c>
      <c r="E22" s="21" t="s">
        <v>30</v>
      </c>
      <c r="F22" s="19" t="s">
        <v>18</v>
      </c>
      <c r="G22" s="19" t="s">
        <v>31</v>
      </c>
      <c r="H22" s="19"/>
      <c r="I22" s="19" t="s">
        <v>20</v>
      </c>
      <c r="J22" s="22">
        <v>308280.75</v>
      </c>
      <c r="K22" s="19">
        <v>3.6724999999999999</v>
      </c>
      <c r="L22" s="23">
        <f t="shared" si="3"/>
        <v>1132161.0543750001</v>
      </c>
      <c r="M22" s="19"/>
      <c r="N22" s="19"/>
      <c r="O22" s="19"/>
      <c r="P22" s="19"/>
    </row>
    <row r="23" spans="1:16" x14ac:dyDescent="0.3">
      <c r="B23" s="5">
        <v>45535</v>
      </c>
      <c r="C23" t="s">
        <v>44</v>
      </c>
      <c r="D23" t="s">
        <v>16</v>
      </c>
      <c r="E23" s="2" t="s">
        <v>17</v>
      </c>
      <c r="F23" t="s">
        <v>18</v>
      </c>
      <c r="G23" t="s">
        <v>19</v>
      </c>
      <c r="I23" t="s">
        <v>20</v>
      </c>
      <c r="J23" s="3">
        <v>1800</v>
      </c>
      <c r="K23">
        <v>3.6724999999999999</v>
      </c>
      <c r="L23" s="4">
        <f t="shared" ref="L23:L37" si="4">J23*3.6725</f>
        <v>6610.5</v>
      </c>
    </row>
    <row r="24" spans="1:16" x14ac:dyDescent="0.3">
      <c r="B24" s="5">
        <v>45535</v>
      </c>
      <c r="C24" t="s">
        <v>45</v>
      </c>
      <c r="D24" t="s">
        <v>16</v>
      </c>
      <c r="E24" s="2" t="s">
        <v>17</v>
      </c>
      <c r="F24" t="s">
        <v>18</v>
      </c>
      <c r="G24" t="s">
        <v>19</v>
      </c>
      <c r="I24" t="s">
        <v>20</v>
      </c>
      <c r="J24" s="3">
        <v>46259.57</v>
      </c>
      <c r="K24">
        <v>3.6724999999999999</v>
      </c>
      <c r="L24" s="4">
        <f t="shared" si="4"/>
        <v>169888.27082499999</v>
      </c>
    </row>
    <row r="25" spans="1:16" x14ac:dyDescent="0.3">
      <c r="B25" s="5">
        <v>45535</v>
      </c>
      <c r="C25" t="s">
        <v>46</v>
      </c>
      <c r="D25" t="s">
        <v>16</v>
      </c>
      <c r="E25" s="2" t="s">
        <v>17</v>
      </c>
      <c r="F25" t="s">
        <v>18</v>
      </c>
      <c r="G25" t="s">
        <v>19</v>
      </c>
      <c r="I25" t="s">
        <v>20</v>
      </c>
      <c r="J25" s="3">
        <v>3482.9</v>
      </c>
      <c r="K25">
        <v>3.6724999999999999</v>
      </c>
      <c r="L25" s="4">
        <f t="shared" si="4"/>
        <v>12790.95025</v>
      </c>
    </row>
    <row r="26" spans="1:16" x14ac:dyDescent="0.3">
      <c r="B26" s="5">
        <v>45535</v>
      </c>
      <c r="C26" t="s">
        <v>47</v>
      </c>
      <c r="D26" t="s">
        <v>16</v>
      </c>
      <c r="E26" s="2" t="s">
        <v>17</v>
      </c>
      <c r="F26" t="s">
        <v>18</v>
      </c>
      <c r="G26" t="s">
        <v>19</v>
      </c>
      <c r="I26" t="s">
        <v>20</v>
      </c>
      <c r="J26" s="3">
        <v>10258.799999999999</v>
      </c>
      <c r="K26">
        <v>3.6724999999999999</v>
      </c>
      <c r="L26" s="4">
        <f t="shared" si="4"/>
        <v>37675.442999999999</v>
      </c>
    </row>
    <row r="27" spans="1:16" s="9" customFormat="1" x14ac:dyDescent="0.3">
      <c r="A27" s="19">
        <f>MAX($A$2:A26)+1</f>
        <v>12</v>
      </c>
      <c r="B27" s="20">
        <v>45535</v>
      </c>
      <c r="C27" s="19" t="s">
        <v>48</v>
      </c>
      <c r="D27" s="19" t="s">
        <v>16</v>
      </c>
      <c r="E27" s="21" t="s">
        <v>17</v>
      </c>
      <c r="F27" s="19" t="s">
        <v>18</v>
      </c>
      <c r="G27" s="19" t="s">
        <v>19</v>
      </c>
      <c r="H27" s="19"/>
      <c r="I27" s="19" t="s">
        <v>20</v>
      </c>
      <c r="J27" s="22">
        <v>249725.89</v>
      </c>
      <c r="K27" s="19">
        <v>3.6724999999999999</v>
      </c>
      <c r="L27" s="23">
        <f t="shared" si="4"/>
        <v>917118.33102499996</v>
      </c>
      <c r="M27" s="19"/>
      <c r="N27" s="19"/>
      <c r="O27" s="19"/>
      <c r="P27" s="19"/>
    </row>
    <row r="28" spans="1:16" x14ac:dyDescent="0.3">
      <c r="B28" s="5">
        <v>45535</v>
      </c>
      <c r="C28" t="s">
        <v>49</v>
      </c>
      <c r="D28" t="s">
        <v>16</v>
      </c>
      <c r="E28" s="2" t="s">
        <v>17</v>
      </c>
      <c r="F28" t="s">
        <v>18</v>
      </c>
      <c r="G28" t="s">
        <v>19</v>
      </c>
      <c r="I28" t="s">
        <v>20</v>
      </c>
      <c r="J28" s="3">
        <v>7032.28</v>
      </c>
      <c r="K28">
        <v>3.6724999999999999</v>
      </c>
      <c r="L28" s="4">
        <f t="shared" si="4"/>
        <v>25826.048299999999</v>
      </c>
    </row>
    <row r="29" spans="1:16" s="9" customFormat="1" x14ac:dyDescent="0.3">
      <c r="A29" s="19">
        <f>MAX($A$2:A28)+1</f>
        <v>13</v>
      </c>
      <c r="B29" s="20">
        <v>45535</v>
      </c>
      <c r="C29" s="19" t="s">
        <v>50</v>
      </c>
      <c r="D29" s="19" t="s">
        <v>16</v>
      </c>
      <c r="E29" s="21" t="s">
        <v>17</v>
      </c>
      <c r="F29" s="19" t="s">
        <v>18</v>
      </c>
      <c r="G29" s="19" t="s">
        <v>19</v>
      </c>
      <c r="H29" s="19"/>
      <c r="I29" s="19" t="s">
        <v>20</v>
      </c>
      <c r="J29" s="22">
        <v>154305.60000000001</v>
      </c>
      <c r="K29" s="19">
        <v>3.6724999999999999</v>
      </c>
      <c r="L29" s="23">
        <f t="shared" si="4"/>
        <v>566687.31599999999</v>
      </c>
      <c r="M29" s="19"/>
      <c r="N29" s="19"/>
      <c r="O29" s="19"/>
      <c r="P29" s="19"/>
    </row>
    <row r="30" spans="1:16" x14ac:dyDescent="0.3">
      <c r="B30" s="5">
        <v>45565</v>
      </c>
      <c r="C30" t="s">
        <v>51</v>
      </c>
      <c r="D30" t="s">
        <v>16</v>
      </c>
      <c r="E30" s="2" t="s">
        <v>17</v>
      </c>
      <c r="F30" t="s">
        <v>18</v>
      </c>
      <c r="G30" t="s">
        <v>19</v>
      </c>
      <c r="I30" t="s">
        <v>20</v>
      </c>
      <c r="J30" s="3">
        <v>10014.9</v>
      </c>
      <c r="K30">
        <v>3.6724999999999999</v>
      </c>
      <c r="L30" s="4">
        <f t="shared" si="4"/>
        <v>36779.720249999998</v>
      </c>
    </row>
    <row r="31" spans="1:16" x14ac:dyDescent="0.3">
      <c r="B31" s="5">
        <v>45565</v>
      </c>
      <c r="C31" t="s">
        <v>52</v>
      </c>
      <c r="D31" t="s">
        <v>16</v>
      </c>
      <c r="E31" s="2" t="s">
        <v>17</v>
      </c>
      <c r="F31" t="s">
        <v>18</v>
      </c>
      <c r="G31" t="s">
        <v>19</v>
      </c>
      <c r="I31" t="s">
        <v>20</v>
      </c>
      <c r="J31" s="3">
        <v>10362.9</v>
      </c>
      <c r="K31">
        <v>3.6724999999999999</v>
      </c>
      <c r="L31" s="4">
        <f t="shared" si="4"/>
        <v>38057.750249999997</v>
      </c>
    </row>
    <row r="32" spans="1:16" s="9" customFormat="1" x14ac:dyDescent="0.3">
      <c r="A32" s="19">
        <f>MAX($A$2:A31)+1</f>
        <v>14</v>
      </c>
      <c r="B32" s="20">
        <v>45565</v>
      </c>
      <c r="C32" s="19" t="s">
        <v>53</v>
      </c>
      <c r="D32" s="19" t="s">
        <v>16</v>
      </c>
      <c r="E32" s="21" t="s">
        <v>17</v>
      </c>
      <c r="F32" s="19" t="s">
        <v>18</v>
      </c>
      <c r="G32" s="19" t="s">
        <v>19</v>
      </c>
      <c r="H32" s="19"/>
      <c r="I32" s="19" t="s">
        <v>20</v>
      </c>
      <c r="J32" s="22">
        <v>156905.60000000001</v>
      </c>
      <c r="K32" s="19">
        <v>3.6724999999999999</v>
      </c>
      <c r="L32" s="23">
        <f t="shared" si="4"/>
        <v>576235.81599999999</v>
      </c>
      <c r="M32" s="19"/>
      <c r="N32" s="19"/>
      <c r="O32" s="19"/>
      <c r="P32" s="19"/>
    </row>
    <row r="33" spans="1:16" s="9" customFormat="1" x14ac:dyDescent="0.3">
      <c r="A33" s="19">
        <f>MAX($A$2:A32)+1</f>
        <v>15</v>
      </c>
      <c r="B33" s="20">
        <v>45565</v>
      </c>
      <c r="C33" s="19" t="s">
        <v>54</v>
      </c>
      <c r="D33" s="19" t="s">
        <v>16</v>
      </c>
      <c r="E33" s="21" t="s">
        <v>17</v>
      </c>
      <c r="F33" s="19" t="s">
        <v>18</v>
      </c>
      <c r="G33" s="19" t="s">
        <v>19</v>
      </c>
      <c r="H33" s="19"/>
      <c r="I33" s="19" t="s">
        <v>20</v>
      </c>
      <c r="J33" s="22">
        <v>317168.27</v>
      </c>
      <c r="K33" s="19">
        <v>3.6724999999999999</v>
      </c>
      <c r="L33" s="23">
        <f t="shared" si="4"/>
        <v>1164800.4715750001</v>
      </c>
      <c r="M33" s="19"/>
      <c r="N33" s="19"/>
      <c r="O33" s="19"/>
      <c r="P33" s="19"/>
    </row>
    <row r="34" spans="1:16" x14ac:dyDescent="0.3">
      <c r="B34" s="5">
        <v>45596</v>
      </c>
      <c r="C34" t="s">
        <v>55</v>
      </c>
      <c r="D34" t="s">
        <v>16</v>
      </c>
      <c r="E34" s="2" t="s">
        <v>17</v>
      </c>
      <c r="F34" t="s">
        <v>18</v>
      </c>
      <c r="G34" t="s">
        <v>19</v>
      </c>
      <c r="I34" t="s">
        <v>20</v>
      </c>
      <c r="J34" s="3">
        <v>9549</v>
      </c>
      <c r="K34">
        <v>3.6724999999999999</v>
      </c>
      <c r="L34" s="4">
        <f t="shared" si="4"/>
        <v>35068.702499999999</v>
      </c>
    </row>
    <row r="35" spans="1:16" x14ac:dyDescent="0.3">
      <c r="B35" s="5">
        <v>45596</v>
      </c>
      <c r="C35" t="s">
        <v>56</v>
      </c>
      <c r="D35" t="s">
        <v>16</v>
      </c>
      <c r="E35" s="2" t="s">
        <v>17</v>
      </c>
      <c r="F35" t="s">
        <v>18</v>
      </c>
      <c r="G35" t="s">
        <v>19</v>
      </c>
      <c r="I35" t="s">
        <v>20</v>
      </c>
      <c r="J35" s="3">
        <v>10091.790000000001</v>
      </c>
      <c r="K35">
        <v>3.6724999999999999</v>
      </c>
      <c r="L35" s="4">
        <f t="shared" si="4"/>
        <v>37062.098774999999</v>
      </c>
    </row>
    <row r="36" spans="1:16" s="9" customFormat="1" x14ac:dyDescent="0.3">
      <c r="A36" s="19">
        <f>MAX($A$2:A35)+1</f>
        <v>16</v>
      </c>
      <c r="B36" s="20">
        <v>45596</v>
      </c>
      <c r="C36" s="19" t="s">
        <v>57</v>
      </c>
      <c r="D36" s="19" t="s">
        <v>16</v>
      </c>
      <c r="E36" s="21" t="s">
        <v>17</v>
      </c>
      <c r="F36" s="19" t="s">
        <v>18</v>
      </c>
      <c r="G36" s="19" t="s">
        <v>19</v>
      </c>
      <c r="H36" s="19"/>
      <c r="I36" s="19" t="s">
        <v>20</v>
      </c>
      <c r="J36" s="22">
        <v>119078.12</v>
      </c>
      <c r="K36" s="19">
        <v>3.6724999999999999</v>
      </c>
      <c r="L36" s="23">
        <f t="shared" si="4"/>
        <v>437314.39569999999</v>
      </c>
      <c r="M36" s="19"/>
      <c r="N36" s="19"/>
      <c r="O36" s="19"/>
      <c r="P36" s="19"/>
    </row>
    <row r="37" spans="1:16" s="9" customFormat="1" x14ac:dyDescent="0.3">
      <c r="A37" s="19">
        <f>MAX($A$2:A36)+1</f>
        <v>17</v>
      </c>
      <c r="B37" s="20">
        <v>45596</v>
      </c>
      <c r="C37" s="19" t="s">
        <v>58</v>
      </c>
      <c r="D37" s="19" t="s">
        <v>16</v>
      </c>
      <c r="E37" s="21" t="s">
        <v>17</v>
      </c>
      <c r="F37" s="19" t="s">
        <v>18</v>
      </c>
      <c r="G37" s="19" t="s">
        <v>19</v>
      </c>
      <c r="H37" s="19"/>
      <c r="I37" s="19" t="s">
        <v>20</v>
      </c>
      <c r="J37" s="22">
        <v>178878.63</v>
      </c>
      <c r="K37" s="19">
        <v>3.6724999999999999</v>
      </c>
      <c r="L37" s="23">
        <f t="shared" si="4"/>
        <v>656931.76867499994</v>
      </c>
      <c r="M37" s="19"/>
      <c r="N37" s="19"/>
      <c r="O37" s="19"/>
      <c r="P37" s="19"/>
    </row>
    <row r="38" spans="1:16" s="9" customFormat="1" x14ac:dyDescent="0.3">
      <c r="A38" s="19">
        <f>MAX($A$2:A37)+1</f>
        <v>18</v>
      </c>
      <c r="B38" s="20">
        <v>45535</v>
      </c>
      <c r="C38" s="19" t="s">
        <v>59</v>
      </c>
      <c r="D38" s="19" t="s">
        <v>29</v>
      </c>
      <c r="E38" s="21" t="s">
        <v>30</v>
      </c>
      <c r="F38" s="19" t="s">
        <v>18</v>
      </c>
      <c r="G38" s="19" t="s">
        <v>31</v>
      </c>
      <c r="H38" s="19"/>
      <c r="I38" s="19" t="s">
        <v>20</v>
      </c>
      <c r="J38" s="22">
        <v>226521.31</v>
      </c>
      <c r="K38" s="19">
        <v>3.6724999999999999</v>
      </c>
      <c r="L38" s="23">
        <f t="shared" ref="L38:L40" si="5">J38*3.6725</f>
        <v>831899.51097499998</v>
      </c>
      <c r="M38" s="19"/>
      <c r="N38" s="19"/>
      <c r="O38" s="19"/>
      <c r="P38" s="19"/>
    </row>
    <row r="39" spans="1:16" s="9" customFormat="1" x14ac:dyDescent="0.3">
      <c r="A39" s="19">
        <f>MAX($A$2:A38)+1</f>
        <v>19</v>
      </c>
      <c r="B39" s="20">
        <v>45565</v>
      </c>
      <c r="C39" s="19" t="s">
        <v>60</v>
      </c>
      <c r="D39" s="19" t="s">
        <v>29</v>
      </c>
      <c r="E39" s="21" t="s">
        <v>30</v>
      </c>
      <c r="F39" s="19" t="s">
        <v>18</v>
      </c>
      <c r="G39" s="19" t="s">
        <v>31</v>
      </c>
      <c r="H39" s="19"/>
      <c r="I39" s="19" t="s">
        <v>20</v>
      </c>
      <c r="J39" s="22">
        <v>78745.39</v>
      </c>
      <c r="K39" s="19">
        <v>3.6724999999999999</v>
      </c>
      <c r="L39" s="23">
        <f t="shared" si="5"/>
        <v>289192.44477499998</v>
      </c>
      <c r="M39" s="19"/>
      <c r="N39" s="19"/>
      <c r="O39" s="19"/>
      <c r="P39" s="19"/>
    </row>
    <row r="40" spans="1:16" s="9" customFormat="1" x14ac:dyDescent="0.3">
      <c r="A40" s="19">
        <f>MAX($A$2:A39)+1</f>
        <v>20</v>
      </c>
      <c r="B40" s="20">
        <v>45596</v>
      </c>
      <c r="C40" s="19" t="s">
        <v>61</v>
      </c>
      <c r="D40" s="19" t="s">
        <v>29</v>
      </c>
      <c r="E40" s="21" t="s">
        <v>30</v>
      </c>
      <c r="F40" s="19" t="s">
        <v>18</v>
      </c>
      <c r="G40" s="19" t="s">
        <v>31</v>
      </c>
      <c r="H40" s="19"/>
      <c r="I40" s="19" t="s">
        <v>20</v>
      </c>
      <c r="J40" s="22">
        <v>315990.07</v>
      </c>
      <c r="K40" s="19">
        <v>3.6724999999999999</v>
      </c>
      <c r="L40" s="23">
        <f t="shared" si="5"/>
        <v>1160473.532075</v>
      </c>
      <c r="M40" s="19"/>
      <c r="N40" s="19"/>
      <c r="O40" s="19"/>
      <c r="P40" s="19"/>
    </row>
    <row r="41" spans="1:16" s="9" customFormat="1" x14ac:dyDescent="0.3">
      <c r="A41" s="19">
        <f>MAX($A$2:A40)+1</f>
        <v>21</v>
      </c>
      <c r="B41" s="20">
        <v>45626</v>
      </c>
      <c r="C41" s="19" t="s">
        <v>62</v>
      </c>
      <c r="D41" s="19" t="s">
        <v>16</v>
      </c>
      <c r="E41" s="19" t="s">
        <v>17</v>
      </c>
      <c r="F41" s="19" t="s">
        <v>18</v>
      </c>
      <c r="G41" s="19" t="s">
        <v>19</v>
      </c>
      <c r="H41" s="19"/>
      <c r="I41" s="19" t="s">
        <v>20</v>
      </c>
      <c r="J41" s="22">
        <v>78081.5</v>
      </c>
      <c r="K41" s="19">
        <v>3.6724999999999999</v>
      </c>
      <c r="L41" s="23">
        <f t="shared" ref="L41:L58" si="6">J41*3.6725</f>
        <v>286754.30874999997</v>
      </c>
      <c r="M41" s="19" t="s">
        <v>63</v>
      </c>
      <c r="N41" s="19"/>
      <c r="O41" s="19"/>
      <c r="P41" s="19"/>
    </row>
    <row r="42" spans="1:16" x14ac:dyDescent="0.3">
      <c r="B42" s="5">
        <v>45626</v>
      </c>
      <c r="C42" t="s">
        <v>64</v>
      </c>
      <c r="D42" t="s">
        <v>16</v>
      </c>
      <c r="E42" t="s">
        <v>17</v>
      </c>
      <c r="F42" t="s">
        <v>18</v>
      </c>
      <c r="G42" t="s">
        <v>19</v>
      </c>
      <c r="I42" t="s">
        <v>20</v>
      </c>
      <c r="J42" s="3">
        <v>8937.64</v>
      </c>
      <c r="K42">
        <v>3.6724999999999999</v>
      </c>
      <c r="L42" s="4">
        <f t="shared" si="6"/>
        <v>32823.482899999995</v>
      </c>
      <c r="M42" t="s">
        <v>63</v>
      </c>
    </row>
    <row r="43" spans="1:16" x14ac:dyDescent="0.3">
      <c r="B43" s="5">
        <v>45626</v>
      </c>
      <c r="C43" t="s">
        <v>65</v>
      </c>
      <c r="D43" t="s">
        <v>16</v>
      </c>
      <c r="E43" t="s">
        <v>17</v>
      </c>
      <c r="F43" t="s">
        <v>18</v>
      </c>
      <c r="G43" t="s">
        <v>19</v>
      </c>
      <c r="I43" t="s">
        <v>20</v>
      </c>
      <c r="J43" s="3">
        <v>6049.6</v>
      </c>
      <c r="K43">
        <v>3.6724999999999999</v>
      </c>
      <c r="L43" s="4">
        <f t="shared" si="6"/>
        <v>22217.155999999999</v>
      </c>
      <c r="M43" t="s">
        <v>66</v>
      </c>
    </row>
    <row r="44" spans="1:16" s="9" customFormat="1" x14ac:dyDescent="0.3">
      <c r="A44" s="19">
        <f>MAX($A$2:A43)+1</f>
        <v>22</v>
      </c>
      <c r="B44" s="20">
        <v>45626</v>
      </c>
      <c r="C44" s="19" t="s">
        <v>67</v>
      </c>
      <c r="D44" s="19" t="s">
        <v>16</v>
      </c>
      <c r="E44" s="19" t="s">
        <v>17</v>
      </c>
      <c r="F44" s="19" t="s">
        <v>18</v>
      </c>
      <c r="G44" s="19" t="s">
        <v>19</v>
      </c>
      <c r="H44" s="19"/>
      <c r="I44" s="19" t="s">
        <v>20</v>
      </c>
      <c r="J44" s="22">
        <v>212676.78</v>
      </c>
      <c r="K44" s="19">
        <v>3.6724999999999999</v>
      </c>
      <c r="L44" s="23">
        <f t="shared" si="6"/>
        <v>781055.47454999993</v>
      </c>
      <c r="M44" s="19" t="s">
        <v>66</v>
      </c>
      <c r="N44" s="19"/>
      <c r="O44" s="19"/>
      <c r="P44" s="19"/>
    </row>
    <row r="45" spans="1:16" s="9" customFormat="1" x14ac:dyDescent="0.3">
      <c r="A45" s="19">
        <f>MAX($A$2:A44)+1</f>
        <v>23</v>
      </c>
      <c r="B45" s="20">
        <v>45626</v>
      </c>
      <c r="C45" s="19" t="s">
        <v>79</v>
      </c>
      <c r="D45" s="19" t="s">
        <v>29</v>
      </c>
      <c r="E45" s="19" t="s">
        <v>30</v>
      </c>
      <c r="F45" s="19" t="s">
        <v>18</v>
      </c>
      <c r="G45" s="19" t="s">
        <v>31</v>
      </c>
      <c r="H45" s="19"/>
      <c r="I45" s="19" t="s">
        <v>20</v>
      </c>
      <c r="J45" s="22">
        <v>402994.98</v>
      </c>
      <c r="K45" s="19">
        <v>3.6724999999999999</v>
      </c>
      <c r="L45" s="23">
        <f>J45*3.6725</f>
        <v>1479999.0640499999</v>
      </c>
      <c r="M45" s="19"/>
      <c r="N45" s="19"/>
      <c r="O45" s="19"/>
      <c r="P45" s="19"/>
    </row>
    <row r="46" spans="1:16" x14ac:dyDescent="0.3">
      <c r="B46" s="5">
        <v>45657</v>
      </c>
      <c r="C46" t="s">
        <v>68</v>
      </c>
      <c r="D46" t="s">
        <v>16</v>
      </c>
      <c r="E46" t="s">
        <v>17</v>
      </c>
      <c r="F46" t="s">
        <v>18</v>
      </c>
      <c r="G46" t="s">
        <v>19</v>
      </c>
      <c r="I46" t="s">
        <v>20</v>
      </c>
      <c r="J46" s="3">
        <v>15622.38</v>
      </c>
      <c r="K46">
        <v>3.6724999999999999</v>
      </c>
      <c r="L46" s="4">
        <f t="shared" si="6"/>
        <v>57373.190549999992</v>
      </c>
      <c r="M46" t="s">
        <v>66</v>
      </c>
    </row>
    <row r="47" spans="1:16" s="9" customFormat="1" x14ac:dyDescent="0.3">
      <c r="A47" s="19">
        <f>MAX($A$2:A46)+1</f>
        <v>24</v>
      </c>
      <c r="B47" s="20">
        <v>45657</v>
      </c>
      <c r="C47" s="19" t="s">
        <v>69</v>
      </c>
      <c r="D47" s="19" t="s">
        <v>16</v>
      </c>
      <c r="E47" s="19" t="s">
        <v>17</v>
      </c>
      <c r="F47" s="19" t="s">
        <v>18</v>
      </c>
      <c r="G47" s="19" t="s">
        <v>19</v>
      </c>
      <c r="H47" s="19"/>
      <c r="I47" s="19" t="s">
        <v>20</v>
      </c>
      <c r="J47" s="22">
        <v>69899.47</v>
      </c>
      <c r="K47" s="19">
        <v>3.6724999999999999</v>
      </c>
      <c r="L47" s="23">
        <f t="shared" si="6"/>
        <v>256705.803575</v>
      </c>
      <c r="M47" s="19" t="s">
        <v>66</v>
      </c>
      <c r="N47" s="19"/>
      <c r="O47" s="19"/>
      <c r="P47" s="19"/>
    </row>
    <row r="48" spans="1:16" x14ac:dyDescent="0.3">
      <c r="B48" s="5">
        <v>45657</v>
      </c>
      <c r="C48" t="s">
        <v>70</v>
      </c>
      <c r="D48" t="s">
        <v>16</v>
      </c>
      <c r="E48" t="s">
        <v>17</v>
      </c>
      <c r="F48" t="s">
        <v>18</v>
      </c>
      <c r="G48" t="s">
        <v>19</v>
      </c>
      <c r="I48" t="s">
        <v>20</v>
      </c>
      <c r="J48" s="3">
        <v>33561.79</v>
      </c>
      <c r="K48">
        <v>3.6724999999999999</v>
      </c>
      <c r="L48" s="4">
        <f t="shared" si="6"/>
        <v>123255.673775</v>
      </c>
      <c r="M48" t="s">
        <v>71</v>
      </c>
    </row>
    <row r="49" spans="1:16" x14ac:dyDescent="0.3">
      <c r="B49" s="5">
        <v>45657</v>
      </c>
      <c r="C49" t="s">
        <v>72</v>
      </c>
      <c r="D49" t="s">
        <v>16</v>
      </c>
      <c r="E49" t="s">
        <v>17</v>
      </c>
      <c r="F49" t="s">
        <v>18</v>
      </c>
      <c r="G49" t="s">
        <v>19</v>
      </c>
      <c r="I49" t="s">
        <v>20</v>
      </c>
      <c r="J49" s="3">
        <v>12660.48</v>
      </c>
      <c r="K49">
        <v>3.6724999999999999</v>
      </c>
      <c r="L49" s="4">
        <f t="shared" si="6"/>
        <v>46495.612799999995</v>
      </c>
      <c r="M49" t="s">
        <v>66</v>
      </c>
    </row>
    <row r="50" spans="1:16" s="9" customFormat="1" x14ac:dyDescent="0.3">
      <c r="A50" s="19">
        <f>MAX($A$2:A49)+1</f>
        <v>25</v>
      </c>
      <c r="B50" s="20">
        <v>45657</v>
      </c>
      <c r="C50" s="19" t="s">
        <v>73</v>
      </c>
      <c r="D50" s="19" t="s">
        <v>16</v>
      </c>
      <c r="E50" s="19" t="s">
        <v>17</v>
      </c>
      <c r="F50" s="19" t="s">
        <v>18</v>
      </c>
      <c r="G50" s="19" t="s">
        <v>19</v>
      </c>
      <c r="H50" s="19"/>
      <c r="I50" s="19" t="s">
        <v>20</v>
      </c>
      <c r="J50" s="22">
        <v>58821.34</v>
      </c>
      <c r="K50" s="19">
        <v>3.6724999999999999</v>
      </c>
      <c r="L50" s="23">
        <f t="shared" si="6"/>
        <v>216021.37114999999</v>
      </c>
      <c r="M50" s="19" t="s">
        <v>71</v>
      </c>
      <c r="N50" s="19"/>
      <c r="O50" s="19"/>
      <c r="P50" s="19"/>
    </row>
    <row r="51" spans="1:16" s="9" customFormat="1" x14ac:dyDescent="0.3">
      <c r="A51" s="19">
        <f>MAX($A$2:A50)+1</f>
        <v>26</v>
      </c>
      <c r="B51" s="20">
        <v>45657</v>
      </c>
      <c r="C51" s="19" t="s">
        <v>80</v>
      </c>
      <c r="D51" s="19" t="s">
        <v>29</v>
      </c>
      <c r="E51" s="19" t="s">
        <v>30</v>
      </c>
      <c r="F51" s="19" t="s">
        <v>18</v>
      </c>
      <c r="G51" s="19" t="s">
        <v>31</v>
      </c>
      <c r="H51" s="19"/>
      <c r="I51" s="19" t="s">
        <v>20</v>
      </c>
      <c r="J51" s="22">
        <v>657086.65</v>
      </c>
      <c r="K51" s="19">
        <v>3.6724999999999999</v>
      </c>
      <c r="L51" s="23">
        <f>J51*3.6725</f>
        <v>2413150.7221249999</v>
      </c>
      <c r="M51" s="19"/>
      <c r="N51" s="19"/>
      <c r="O51" s="19"/>
      <c r="P51" s="19"/>
    </row>
    <row r="52" spans="1:16" x14ac:dyDescent="0.3">
      <c r="E52"/>
      <c r="J52" s="4"/>
      <c r="L52" s="4">
        <f>SUM(L3:L51)</f>
        <v>20817451.153849993</v>
      </c>
    </row>
    <row r="53" spans="1:16" x14ac:dyDescent="0.3">
      <c r="E53"/>
    </row>
    <row r="54" spans="1:16" x14ac:dyDescent="0.3">
      <c r="E54"/>
    </row>
    <row r="55" spans="1:16" s="9" customFormat="1" x14ac:dyDescent="0.3">
      <c r="A55" s="19">
        <f>MAX($A$2:A54)+1</f>
        <v>27</v>
      </c>
      <c r="B55" s="20">
        <v>45688</v>
      </c>
      <c r="C55" s="19" t="s">
        <v>74</v>
      </c>
      <c r="D55" s="19" t="s">
        <v>16</v>
      </c>
      <c r="E55" s="19" t="s">
        <v>17</v>
      </c>
      <c r="F55" s="19" t="s">
        <v>18</v>
      </c>
      <c r="G55" s="19" t="s">
        <v>19</v>
      </c>
      <c r="H55" s="19"/>
      <c r="I55" s="19" t="s">
        <v>20</v>
      </c>
      <c r="J55" s="22">
        <v>29070.84</v>
      </c>
      <c r="K55" s="19">
        <v>3.6724999999999999</v>
      </c>
      <c r="L55" s="23">
        <f t="shared" si="6"/>
        <v>106762.6599</v>
      </c>
      <c r="M55" s="19" t="s">
        <v>71</v>
      </c>
      <c r="N55" s="19"/>
      <c r="O55" s="19"/>
      <c r="P55" s="19"/>
    </row>
    <row r="56" spans="1:16" s="9" customFormat="1" x14ac:dyDescent="0.3">
      <c r="A56" s="19">
        <f>MAX($A$2:A55)+1</f>
        <v>28</v>
      </c>
      <c r="B56" s="20">
        <v>45688</v>
      </c>
      <c r="C56" s="19" t="s">
        <v>75</v>
      </c>
      <c r="D56" s="19" t="s">
        <v>16</v>
      </c>
      <c r="E56" s="19" t="s">
        <v>17</v>
      </c>
      <c r="F56" s="19" t="s">
        <v>18</v>
      </c>
      <c r="G56" s="19" t="s">
        <v>19</v>
      </c>
      <c r="H56" s="19"/>
      <c r="I56" s="19" t="s">
        <v>20</v>
      </c>
      <c r="J56" s="22">
        <v>18518.93</v>
      </c>
      <c r="K56" s="19">
        <v>3.6724999999999999</v>
      </c>
      <c r="L56" s="23">
        <f t="shared" si="6"/>
        <v>68010.770424999995</v>
      </c>
      <c r="M56" s="19" t="s">
        <v>71</v>
      </c>
      <c r="N56" s="19"/>
      <c r="O56" s="19"/>
      <c r="P56" s="19"/>
    </row>
    <row r="57" spans="1:16" x14ac:dyDescent="0.3">
      <c r="B57" s="5">
        <v>45688</v>
      </c>
      <c r="C57" t="s">
        <v>76</v>
      </c>
      <c r="D57" t="s">
        <v>16</v>
      </c>
      <c r="E57" t="s">
        <v>17</v>
      </c>
      <c r="F57" t="s">
        <v>18</v>
      </c>
      <c r="G57" t="s">
        <v>19</v>
      </c>
      <c r="I57" t="s">
        <v>20</v>
      </c>
      <c r="J57" s="3">
        <v>9750.4599999999991</v>
      </c>
      <c r="K57">
        <v>3.6724999999999999</v>
      </c>
      <c r="L57" s="4">
        <f t="shared" si="6"/>
        <v>35808.564349999993</v>
      </c>
      <c r="M57" t="s">
        <v>77</v>
      </c>
    </row>
    <row r="58" spans="1:16" x14ac:dyDescent="0.3">
      <c r="B58" s="5">
        <v>45688</v>
      </c>
      <c r="C58" t="s">
        <v>78</v>
      </c>
      <c r="D58" t="s">
        <v>16</v>
      </c>
      <c r="E58" t="s">
        <v>17</v>
      </c>
      <c r="F58" t="s">
        <v>18</v>
      </c>
      <c r="G58" t="s">
        <v>19</v>
      </c>
      <c r="I58" t="s">
        <v>20</v>
      </c>
      <c r="J58" s="3">
        <v>26108.54</v>
      </c>
      <c r="K58">
        <v>3.6724999999999999</v>
      </c>
      <c r="L58" s="4">
        <f t="shared" si="6"/>
        <v>95883.613150000005</v>
      </c>
      <c r="M58" t="s">
        <v>77</v>
      </c>
    </row>
    <row r="59" spans="1:16" x14ac:dyDescent="0.3">
      <c r="E59"/>
      <c r="J59" s="6">
        <f>SUM(J41:J58)</f>
        <v>1639841.38</v>
      </c>
      <c r="K59" s="7"/>
      <c r="L59" s="8">
        <f>SUM(L41:L58)-L52</f>
        <v>6022317.4680499993</v>
      </c>
    </row>
    <row r="60" spans="1:16" x14ac:dyDescent="0.3">
      <c r="E60"/>
    </row>
    <row r="61" spans="1:16" x14ac:dyDescent="0.3">
      <c r="B61" s="5">
        <v>45688</v>
      </c>
      <c r="C61" t="s">
        <v>81</v>
      </c>
      <c r="D61" t="s">
        <v>29</v>
      </c>
      <c r="E61" t="s">
        <v>30</v>
      </c>
      <c r="F61" t="s">
        <v>18</v>
      </c>
      <c r="G61" t="s">
        <v>31</v>
      </c>
      <c r="I61" t="s">
        <v>20</v>
      </c>
      <c r="J61" s="3">
        <v>179832.28</v>
      </c>
      <c r="K61">
        <v>3.6724999999999999</v>
      </c>
      <c r="L61" s="4">
        <f t="shared" ref="L61" si="7">J61*3.6725</f>
        <v>660434.04830000002</v>
      </c>
    </row>
    <row r="63" spans="1:16" ht="15" thickBot="1" x14ac:dyDescent="0.35">
      <c r="J63" s="6" t="s">
        <v>83</v>
      </c>
      <c r="L63" s="24">
        <f>L55+L56</f>
        <v>174773.43032499999</v>
      </c>
    </row>
    <row r="64" spans="1:16" ht="15" thickTop="1" x14ac:dyDescent="0.3"/>
  </sheetData>
  <autoFilter ref="A2:Q61" xr:uid="{FB7EB443-3FBF-4409-B49F-F54FA0A4D7C4}"/>
  <printOptions gridLines="1"/>
  <pageMargins left="0.19" right="0.17" top="0.74803149606299213" bottom="0.74803149606299213" header="0.31496062992125984" footer="0.31496062992125984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John</dc:creator>
  <cp:lastModifiedBy>Moiz Khamosi</cp:lastModifiedBy>
  <cp:lastPrinted>2025-09-03T12:02:17Z</cp:lastPrinted>
  <dcterms:created xsi:type="dcterms:W3CDTF">2025-07-08T07:56:49Z</dcterms:created>
  <dcterms:modified xsi:type="dcterms:W3CDTF">2025-09-03T12:02:32Z</dcterms:modified>
</cp:coreProperties>
</file>