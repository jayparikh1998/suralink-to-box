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estinmisquith\Box\YPO MENA ONE FZ-LLC\Bookkeeping\2025\9. September 2025\Bank_statement\"/>
    </mc:Choice>
  </mc:AlternateContent>
  <xr:revisionPtr revIDLastSave="0" documentId="13_ncr:1_{F8A50B81-63AD-43F8-A39D-B68635B6D842}" xr6:coauthVersionLast="47" xr6:coauthVersionMax="47" xr10:uidLastSave="{00000000-0000-0000-0000-000000000000}"/>
  <bookViews>
    <workbookView xWindow="-108" yWindow="-108" windowWidth="23256" windowHeight="12456" firstSheet="2" activeTab="2" xr2:uid="{FD047147-8FAF-46F1-AB7E-E6001A58A66A}"/>
  </bookViews>
  <sheets>
    <sheet name="2022" sheetId="1" state="hidden" r:id="rId1"/>
    <sheet name="2023" sheetId="6" state="hidden" r:id="rId2"/>
    <sheet name="Bank Analysis" sheetId="11" r:id="rId3"/>
    <sheet name="Sheet1" sheetId="9" r:id="rId4"/>
  </sheets>
  <definedNames>
    <definedName name="_xlnm._FilterDatabase" localSheetId="0" hidden="1">'2022'!$A$6:$H$10</definedName>
    <definedName name="_xlnm._FilterDatabase" localSheetId="1" hidden="1">'2023'!$A$6:$AB$212</definedName>
    <definedName name="_xlnm._FilterDatabase" localSheetId="2" hidden="1">'Bank Analysis'!$A$6:$V$53</definedName>
    <definedName name="_xlnm.Print_Area" localSheetId="0">'2022'!$A$1:$H$17</definedName>
    <definedName name="_xlnm.Print_Area" localSheetId="1">'2023'!$A$1:$AA$212,'2023'!$D$214:$F$242</definedName>
    <definedName name="_xlnm.Print_Area" localSheetId="2">'Bank Analysis'!$A$1:$V$53,'Bank Analysis'!$B$55:$D$100</definedName>
    <definedName name="_xlnm.Print_Titles" localSheetId="1">'2023'!$A:$G,'2023'!$1:$6</definedName>
    <definedName name="_xlnm.Print_Titles" localSheetId="2">'Bank Analysis'!$A:$E,'Bank Analysis'!$1:$6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9" l="1"/>
  <c r="D25" i="9"/>
  <c r="F24" i="9"/>
  <c r="F23" i="9"/>
  <c r="F25" i="9" s="1"/>
  <c r="I42" i="11"/>
  <c r="I40" i="11"/>
  <c r="J38" i="11"/>
  <c r="A15" i="9"/>
  <c r="F7" i="9"/>
  <c r="A7" i="9"/>
  <c r="E8" i="9"/>
  <c r="D8" i="9"/>
  <c r="J48" i="11"/>
  <c r="J49" i="11"/>
  <c r="H21" i="11"/>
  <c r="H19" i="11"/>
  <c r="I18" i="11"/>
  <c r="I17" i="11"/>
  <c r="J16" i="11"/>
  <c r="G15" i="11"/>
  <c r="I14" i="11"/>
  <c r="H13" i="11"/>
  <c r="H12" i="11"/>
  <c r="I8" i="11"/>
  <c r="I9" i="11"/>
  <c r="H10" i="11"/>
  <c r="K11" i="11"/>
  <c r="F31" i="9"/>
  <c r="F15" i="9"/>
  <c r="E17" i="9" l="1"/>
  <c r="D17" i="9"/>
  <c r="D100" i="11"/>
  <c r="C100" i="11"/>
  <c r="B56" i="11" a="1"/>
  <c r="B56" i="11" s="1"/>
  <c r="S53" i="11"/>
  <c r="P53" i="11"/>
  <c r="M53" i="11"/>
  <c r="F7" i="11"/>
  <c r="U7" i="11" s="1"/>
  <c r="E7" i="11"/>
  <c r="E8" i="11" s="1"/>
  <c r="E9" i="11" s="1"/>
  <c r="E10" i="11" s="1"/>
  <c r="E11" i="11" s="1"/>
  <c r="E12" i="11" s="1"/>
  <c r="E13" i="11" s="1"/>
  <c r="E14" i="11" s="1"/>
  <c r="E15" i="11" s="1"/>
  <c r="E33" i="9"/>
  <c r="D33" i="9"/>
  <c r="F32" i="9"/>
  <c r="F14" i="9"/>
  <c r="F17" i="9" s="1"/>
  <c r="F6" i="9"/>
  <c r="F8" i="9" s="1"/>
  <c r="E16" i="11" l="1"/>
  <c r="E17" i="11" s="1"/>
  <c r="E18" i="11" s="1"/>
  <c r="E19" i="11" s="1"/>
  <c r="E20" i="11" s="1"/>
  <c r="E21" i="11" s="1"/>
  <c r="E22" i="11" s="1"/>
  <c r="E23" i="11" s="1"/>
  <c r="E24" i="11" s="1"/>
  <c r="E25" i="11" s="1"/>
  <c r="F33" i="9"/>
  <c r="R53" i="11"/>
  <c r="J53" i="11"/>
  <c r="D101" i="11"/>
  <c r="L53" i="11"/>
  <c r="T53" i="11"/>
  <c r="F53" i="11"/>
  <c r="I53" i="11"/>
  <c r="N53" i="11"/>
  <c r="C101" i="11"/>
  <c r="O53" i="11"/>
  <c r="H53" i="11"/>
  <c r="Q53" i="11"/>
  <c r="F242" i="6"/>
  <c r="E242" i="6"/>
  <c r="G7" i="6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J7" i="6"/>
  <c r="H7" i="6" s="1"/>
  <c r="D215" i="6" a="1"/>
  <c r="D215" i="6" s="1"/>
  <c r="E212" i="6"/>
  <c r="W31" i="6"/>
  <c r="H31" i="6" s="1"/>
  <c r="P118" i="6"/>
  <c r="H118" i="6" s="1"/>
  <c r="P73" i="6"/>
  <c r="H73" i="6" s="1"/>
  <c r="P42" i="6"/>
  <c r="P36" i="6"/>
  <c r="H36" i="6" s="1"/>
  <c r="K198" i="6"/>
  <c r="H198" i="6" s="1"/>
  <c r="K197" i="6"/>
  <c r="H197" i="6" s="1"/>
  <c r="AA205" i="6"/>
  <c r="H205" i="6" s="1"/>
  <c r="AA202" i="6"/>
  <c r="AA212" i="6" s="1"/>
  <c r="X56" i="6"/>
  <c r="H56" i="6" s="1"/>
  <c r="Z67" i="6"/>
  <c r="H67" i="6" s="1"/>
  <c r="K23" i="6"/>
  <c r="H23" i="6" s="1"/>
  <c r="Y139" i="6"/>
  <c r="H139" i="6" s="1"/>
  <c r="T149" i="6"/>
  <c r="H149" i="6" s="1"/>
  <c r="W40" i="6"/>
  <c r="H40" i="6" s="1"/>
  <c r="W8" i="6"/>
  <c r="H8" i="6" s="1"/>
  <c r="V177" i="6"/>
  <c r="H177" i="6" s="1"/>
  <c r="V176" i="6"/>
  <c r="H176" i="6" s="1"/>
  <c r="V70" i="6"/>
  <c r="H70" i="6" s="1"/>
  <c r="V69" i="6"/>
  <c r="H69" i="6" s="1"/>
  <c r="V68" i="6"/>
  <c r="H68" i="6" s="1"/>
  <c r="V66" i="6"/>
  <c r="H66" i="6" s="1"/>
  <c r="V65" i="6"/>
  <c r="H65" i="6" s="1"/>
  <c r="V64" i="6"/>
  <c r="H64" i="6" s="1"/>
  <c r="V39" i="6"/>
  <c r="H39" i="6" s="1"/>
  <c r="L192" i="6"/>
  <c r="H192" i="6" s="1"/>
  <c r="L156" i="6"/>
  <c r="H156" i="6" s="1"/>
  <c r="L140" i="6"/>
  <c r="H140" i="6" s="1"/>
  <c r="L132" i="6"/>
  <c r="H132" i="6" s="1"/>
  <c r="L158" i="6"/>
  <c r="H158" i="6" s="1"/>
  <c r="L154" i="6"/>
  <c r="H154" i="6" s="1"/>
  <c r="L207" i="6"/>
  <c r="H207" i="6" s="1"/>
  <c r="L193" i="6"/>
  <c r="H193" i="6" s="1"/>
  <c r="L191" i="6"/>
  <c r="H191" i="6" s="1"/>
  <c r="L190" i="6"/>
  <c r="H190" i="6" s="1"/>
  <c r="L189" i="6"/>
  <c r="H189" i="6" s="1"/>
  <c r="L161" i="6"/>
  <c r="H161" i="6" s="1"/>
  <c r="L152" i="6"/>
  <c r="H152" i="6" s="1"/>
  <c r="L119" i="6"/>
  <c r="H119" i="6" s="1"/>
  <c r="U206" i="6"/>
  <c r="H206" i="6" s="1"/>
  <c r="U25" i="6"/>
  <c r="H25" i="6" s="1"/>
  <c r="T129" i="6"/>
  <c r="H129" i="6" s="1"/>
  <c r="T105" i="6"/>
  <c r="H105" i="6" s="1"/>
  <c r="S204" i="6"/>
  <c r="H204" i="6" s="1"/>
  <c r="S188" i="6"/>
  <c r="H188" i="6" s="1"/>
  <c r="S165" i="6"/>
  <c r="H165" i="6" s="1"/>
  <c r="S150" i="6"/>
  <c r="H150" i="6" s="1"/>
  <c r="S131" i="6"/>
  <c r="H131" i="6" s="1"/>
  <c r="S130" i="6"/>
  <c r="H130" i="6" s="1"/>
  <c r="S106" i="6"/>
  <c r="H106" i="6" s="1"/>
  <c r="S103" i="6"/>
  <c r="H103" i="6" s="1"/>
  <c r="S83" i="6"/>
  <c r="H83" i="6" s="1"/>
  <c r="S57" i="6"/>
  <c r="H57" i="6" s="1"/>
  <c r="S38" i="6"/>
  <c r="H38" i="6" s="1"/>
  <c r="S34" i="6"/>
  <c r="H34" i="6" s="1"/>
  <c r="S28" i="6"/>
  <c r="H28" i="6" s="1"/>
  <c r="S24" i="6"/>
  <c r="H24" i="6" s="1"/>
  <c r="S9" i="6"/>
  <c r="H9" i="6" s="1"/>
  <c r="S98" i="6"/>
  <c r="H98" i="6" s="1"/>
  <c r="S61" i="6"/>
  <c r="H61" i="6" s="1"/>
  <c r="S183" i="6"/>
  <c r="H183" i="6" s="1"/>
  <c r="S181" i="6"/>
  <c r="H181" i="6" s="1"/>
  <c r="S179" i="6"/>
  <c r="H179" i="6" s="1"/>
  <c r="S148" i="6"/>
  <c r="H148" i="6" s="1"/>
  <c r="S146" i="6"/>
  <c r="H146" i="6" s="1"/>
  <c r="S144" i="6"/>
  <c r="H144" i="6" s="1"/>
  <c r="S142" i="6"/>
  <c r="H142" i="6" s="1"/>
  <c r="S136" i="6"/>
  <c r="H136" i="6" s="1"/>
  <c r="S116" i="6"/>
  <c r="H116" i="6" s="1"/>
  <c r="S114" i="6"/>
  <c r="H114" i="6" s="1"/>
  <c r="S112" i="6"/>
  <c r="H112" i="6" s="1"/>
  <c r="S110" i="6"/>
  <c r="H110" i="6" s="1"/>
  <c r="S108" i="6"/>
  <c r="H108" i="6" s="1"/>
  <c r="S91" i="6"/>
  <c r="H91" i="6" s="1"/>
  <c r="S89" i="6"/>
  <c r="H89" i="6" s="1"/>
  <c r="S87" i="6"/>
  <c r="H87" i="6" s="1"/>
  <c r="S85" i="6"/>
  <c r="H85" i="6" s="1"/>
  <c r="S81" i="6"/>
  <c r="H81" i="6" s="1"/>
  <c r="S79" i="6"/>
  <c r="H79" i="6" s="1"/>
  <c r="S77" i="6"/>
  <c r="H77" i="6" s="1"/>
  <c r="S75" i="6"/>
  <c r="H75" i="6" s="1"/>
  <c r="S51" i="6"/>
  <c r="H51" i="6" s="1"/>
  <c r="S49" i="6"/>
  <c r="H49" i="6" s="1"/>
  <c r="S47" i="6"/>
  <c r="H47" i="6" s="1"/>
  <c r="S45" i="6"/>
  <c r="H45" i="6" s="1"/>
  <c r="S17" i="6"/>
  <c r="H17" i="6" s="1"/>
  <c r="S15" i="6"/>
  <c r="H15" i="6" s="1"/>
  <c r="S13" i="6"/>
  <c r="H13" i="6" s="1"/>
  <c r="S11" i="6"/>
  <c r="H11" i="6" s="1"/>
  <c r="R97" i="6"/>
  <c r="H97" i="6" s="1"/>
  <c r="Q182" i="6"/>
  <c r="H182" i="6" s="1"/>
  <c r="Q180" i="6"/>
  <c r="H180" i="6" s="1"/>
  <c r="Q178" i="6"/>
  <c r="H178" i="6" s="1"/>
  <c r="Q147" i="6"/>
  <c r="H147" i="6" s="1"/>
  <c r="Q145" i="6"/>
  <c r="H145" i="6" s="1"/>
  <c r="Q143" i="6"/>
  <c r="H143" i="6" s="1"/>
  <c r="Q141" i="6"/>
  <c r="H141" i="6" s="1"/>
  <c r="Q135" i="6"/>
  <c r="H135" i="6" s="1"/>
  <c r="Q115" i="6"/>
  <c r="H115" i="6" s="1"/>
  <c r="Q113" i="6"/>
  <c r="H113" i="6" s="1"/>
  <c r="Q111" i="6"/>
  <c r="H111" i="6" s="1"/>
  <c r="Q109" i="6"/>
  <c r="H109" i="6" s="1"/>
  <c r="Q107" i="6"/>
  <c r="H107" i="6" s="1"/>
  <c r="Q90" i="6"/>
  <c r="H90" i="6" s="1"/>
  <c r="Q88" i="6"/>
  <c r="H88" i="6" s="1"/>
  <c r="Q86" i="6"/>
  <c r="H86" i="6" s="1"/>
  <c r="Q84" i="6"/>
  <c r="H84" i="6" s="1"/>
  <c r="Q80" i="6"/>
  <c r="H80" i="6" s="1"/>
  <c r="Q78" i="6"/>
  <c r="H78" i="6" s="1"/>
  <c r="Q76" i="6"/>
  <c r="H76" i="6" s="1"/>
  <c r="Q74" i="6"/>
  <c r="H74" i="6" s="1"/>
  <c r="Q50" i="6"/>
  <c r="H50" i="6" s="1"/>
  <c r="Q48" i="6"/>
  <c r="H48" i="6" s="1"/>
  <c r="Q46" i="6"/>
  <c r="H46" i="6" s="1"/>
  <c r="Q44" i="6"/>
  <c r="H44" i="6" s="1"/>
  <c r="Q16" i="6"/>
  <c r="H16" i="6" s="1"/>
  <c r="Q14" i="6"/>
  <c r="H14" i="6" s="1"/>
  <c r="Q12" i="6"/>
  <c r="H12" i="6" s="1"/>
  <c r="Q10" i="6"/>
  <c r="H10" i="6" s="1"/>
  <c r="P128" i="6"/>
  <c r="H128" i="6" s="1"/>
  <c r="P93" i="6"/>
  <c r="H93" i="6" s="1"/>
  <c r="P55" i="6"/>
  <c r="H55" i="6" s="1"/>
  <c r="P37" i="6"/>
  <c r="H37" i="6" s="1"/>
  <c r="P33" i="6"/>
  <c r="H33" i="6" s="1"/>
  <c r="O199" i="6"/>
  <c r="H199" i="6" s="1"/>
  <c r="O187" i="6"/>
  <c r="H187" i="6" s="1"/>
  <c r="O186" i="6"/>
  <c r="H186" i="6" s="1"/>
  <c r="O169" i="6"/>
  <c r="H169" i="6" s="1"/>
  <c r="O96" i="6"/>
  <c r="H96" i="6" s="1"/>
  <c r="O95" i="6"/>
  <c r="H95" i="6" s="1"/>
  <c r="O43" i="6"/>
  <c r="H43" i="6" s="1"/>
  <c r="O20" i="6"/>
  <c r="H20" i="6" s="1"/>
  <c r="O19" i="6"/>
  <c r="H19" i="6" s="1"/>
  <c r="N117" i="6"/>
  <c r="H117" i="6" s="1"/>
  <c r="N72" i="6"/>
  <c r="H72" i="6" s="1"/>
  <c r="N41" i="6"/>
  <c r="H41" i="6" s="1"/>
  <c r="N35" i="6"/>
  <c r="H35" i="6" s="1"/>
  <c r="M211" i="6"/>
  <c r="H211" i="6" s="1"/>
  <c r="M210" i="6"/>
  <c r="H210" i="6" s="1"/>
  <c r="M209" i="6"/>
  <c r="H209" i="6" s="1"/>
  <c r="M208" i="6"/>
  <c r="H208" i="6" s="1"/>
  <c r="M203" i="6"/>
  <c r="H203" i="6" s="1"/>
  <c r="M202" i="6"/>
  <c r="M201" i="6"/>
  <c r="H201" i="6" s="1"/>
  <c r="M200" i="6"/>
  <c r="H200" i="6" s="1"/>
  <c r="M196" i="6"/>
  <c r="H196" i="6" s="1"/>
  <c r="M195" i="6"/>
  <c r="H195" i="6" s="1"/>
  <c r="M194" i="6"/>
  <c r="H194" i="6" s="1"/>
  <c r="M185" i="6"/>
  <c r="H185" i="6" s="1"/>
  <c r="M184" i="6"/>
  <c r="H184" i="6" s="1"/>
  <c r="M175" i="6"/>
  <c r="H175" i="6" s="1"/>
  <c r="M174" i="6"/>
  <c r="H174" i="6" s="1"/>
  <c r="M173" i="6"/>
  <c r="H173" i="6" s="1"/>
  <c r="M172" i="6"/>
  <c r="H172" i="6" s="1"/>
  <c r="M171" i="6"/>
  <c r="H171" i="6" s="1"/>
  <c r="M170" i="6"/>
  <c r="H170" i="6" s="1"/>
  <c r="M168" i="6"/>
  <c r="H168" i="6" s="1"/>
  <c r="M167" i="6"/>
  <c r="H167" i="6" s="1"/>
  <c r="M166" i="6"/>
  <c r="H166" i="6" s="1"/>
  <c r="M164" i="6"/>
  <c r="H164" i="6" s="1"/>
  <c r="M163" i="6"/>
  <c r="H163" i="6" s="1"/>
  <c r="M162" i="6"/>
  <c r="H162" i="6" s="1"/>
  <c r="M160" i="6"/>
  <c r="H160" i="6" s="1"/>
  <c r="M159" i="6"/>
  <c r="H159" i="6" s="1"/>
  <c r="M157" i="6"/>
  <c r="H157" i="6" s="1"/>
  <c r="M155" i="6"/>
  <c r="H155" i="6" s="1"/>
  <c r="M153" i="6"/>
  <c r="H153" i="6" s="1"/>
  <c r="M151" i="6"/>
  <c r="H151" i="6" s="1"/>
  <c r="M138" i="6"/>
  <c r="H138" i="6" s="1"/>
  <c r="M137" i="6"/>
  <c r="H137" i="6" s="1"/>
  <c r="M134" i="6"/>
  <c r="H134" i="6" s="1"/>
  <c r="M133" i="6"/>
  <c r="H133" i="6" s="1"/>
  <c r="M127" i="6"/>
  <c r="H127" i="6" s="1"/>
  <c r="M126" i="6"/>
  <c r="H126" i="6" s="1"/>
  <c r="M125" i="6"/>
  <c r="H125" i="6" s="1"/>
  <c r="M124" i="6"/>
  <c r="H124" i="6" s="1"/>
  <c r="M123" i="6"/>
  <c r="H123" i="6" s="1"/>
  <c r="M122" i="6"/>
  <c r="H122" i="6" s="1"/>
  <c r="M121" i="6"/>
  <c r="H121" i="6" s="1"/>
  <c r="M120" i="6"/>
  <c r="H120" i="6" s="1"/>
  <c r="M104" i="6"/>
  <c r="H104" i="6" s="1"/>
  <c r="M102" i="6"/>
  <c r="H102" i="6" s="1"/>
  <c r="M101" i="6"/>
  <c r="H101" i="6" s="1"/>
  <c r="M100" i="6"/>
  <c r="H100" i="6" s="1"/>
  <c r="M99" i="6"/>
  <c r="H99" i="6" s="1"/>
  <c r="M94" i="6"/>
  <c r="H94" i="6" s="1"/>
  <c r="M92" i="6"/>
  <c r="H92" i="6" s="1"/>
  <c r="M82" i="6"/>
  <c r="H82" i="6" s="1"/>
  <c r="M71" i="6"/>
  <c r="H71" i="6" s="1"/>
  <c r="M63" i="6"/>
  <c r="H63" i="6" s="1"/>
  <c r="M62" i="6"/>
  <c r="H62" i="6" s="1"/>
  <c r="M60" i="6"/>
  <c r="H60" i="6" s="1"/>
  <c r="M59" i="6"/>
  <c r="H59" i="6" s="1"/>
  <c r="M58" i="6"/>
  <c r="H58" i="6" s="1"/>
  <c r="M54" i="6"/>
  <c r="H54" i="6" s="1"/>
  <c r="M53" i="6"/>
  <c r="H53" i="6" s="1"/>
  <c r="M52" i="6"/>
  <c r="H52" i="6" s="1"/>
  <c r="M32" i="6"/>
  <c r="H32" i="6" s="1"/>
  <c r="M30" i="6"/>
  <c r="H30" i="6" s="1"/>
  <c r="M29" i="6"/>
  <c r="H29" i="6" s="1"/>
  <c r="M27" i="6"/>
  <c r="H27" i="6" s="1"/>
  <c r="M26" i="6"/>
  <c r="H26" i="6" s="1"/>
  <c r="M22" i="6"/>
  <c r="H22" i="6" s="1"/>
  <c r="M21" i="6"/>
  <c r="H21" i="6" s="1"/>
  <c r="M18" i="6"/>
  <c r="H18" i="6" s="1"/>
  <c r="F212" i="6"/>
  <c r="H10" i="1"/>
  <c r="G9" i="1"/>
  <c r="F8" i="1"/>
  <c r="F7" i="1"/>
  <c r="E7" i="1"/>
  <c r="E26" i="11" l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C56" i="11" a="1"/>
  <c r="C56" i="11" s="1"/>
  <c r="C71" i="11" s="1"/>
  <c r="D71" i="11" s="1"/>
  <c r="G212" i="6"/>
  <c r="R212" i="6"/>
  <c r="U212" i="6"/>
  <c r="J212" i="6"/>
  <c r="L212" i="6"/>
  <c r="M212" i="6"/>
  <c r="X212" i="6"/>
  <c r="N212" i="6"/>
  <c r="Y212" i="6"/>
  <c r="Q212" i="6"/>
  <c r="S212" i="6"/>
  <c r="T212" i="6"/>
  <c r="V212" i="6"/>
  <c r="K212" i="6"/>
  <c r="W212" i="6"/>
  <c r="O212" i="6"/>
  <c r="Z212" i="6"/>
  <c r="P212" i="6"/>
  <c r="H42" i="6"/>
  <c r="H202" i="6"/>
  <c r="D11" i="1"/>
  <c r="C11" i="1"/>
  <c r="E11" i="1" s="1"/>
  <c r="B14" i="1" a="1"/>
  <c r="B14" i="1" s="1"/>
  <c r="F11" i="1"/>
  <c r="E8" i="1"/>
  <c r="E9" i="1" s="1"/>
  <c r="E215" i="6" l="1" a="1"/>
  <c r="E10" i="1"/>
  <c r="H11" i="1"/>
  <c r="G11" i="1"/>
  <c r="E215" i="6" l="1"/>
  <c r="E233" i="6" s="1"/>
  <c r="F243" i="6"/>
  <c r="E243" i="6"/>
  <c r="C14" i="1" a="1"/>
  <c r="C14" i="1" s="1"/>
  <c r="C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<sst xmlns="http://schemas.openxmlformats.org/spreadsheetml/2006/main" count="823" uniqueCount="541">
  <si>
    <t xml:space="preserve">Date </t>
  </si>
  <si>
    <t>Particular</t>
  </si>
  <si>
    <t xml:space="preserve">Debit </t>
  </si>
  <si>
    <t>Credit</t>
  </si>
  <si>
    <t>Balance</t>
  </si>
  <si>
    <t>Opening Balance</t>
  </si>
  <si>
    <t>Bank Charges</t>
  </si>
  <si>
    <t>Summary</t>
  </si>
  <si>
    <t>Closing balance</t>
  </si>
  <si>
    <t>Closing Balance</t>
  </si>
  <si>
    <t>Transfer</t>
  </si>
  <si>
    <t>RG Holding Limited</t>
  </si>
  <si>
    <t>Account No: 12654370920002 - AED</t>
  </si>
  <si>
    <t>As of Dec 2022</t>
  </si>
  <si>
    <t>ADCB Bank</t>
  </si>
  <si>
    <t>B/O_Rachitgulati290_197222140</t>
  </si>
  <si>
    <t>Trf To Rgholdingslimited</t>
  </si>
  <si>
    <t>Chequedeposit000009 Rachitgulati Chqno ::000009</t>
  </si>
  <si>
    <t>Rachit Gulati</t>
  </si>
  <si>
    <t>As of Dec 2023</t>
  </si>
  <si>
    <t>Bank Reference No</t>
  </si>
  <si>
    <t>Customer Reference No</t>
  </si>
  <si>
    <t>2301260013
333801</t>
  </si>
  <si>
    <t>.</t>
  </si>
  <si>
    <t>PHUB21176 8416</t>
  </si>
  <si>
    <t>REIMBURS E FLYING COLOR</t>
  </si>
  <si>
    <t>PHUB21264 1225</t>
  </si>
  <si>
    <t>MOB060223 1032127440
05</t>
  </si>
  <si>
    <t>PHUB21331 9795</t>
  </si>
  <si>
    <t>MOB090223 1616417555
94</t>
  </si>
  <si>
    <t>PHUB21387 8636</t>
  </si>
  <si>
    <t>JGE NOC FOR LTV</t>
  </si>
  <si>
    <t>PHUB21408 1132</t>
  </si>
  <si>
    <t>DOC NUMBER 10590404</t>
  </si>
  <si>
    <t>PHUB21580 7526</t>
  </si>
  <si>
    <t>2302260016
232103</t>
  </si>
  <si>
    <t>PHUB21735 8276</t>
  </si>
  <si>
    <t>CUSTOMER 2088362</t>
  </si>
  <si>
    <t>PHUB22013 4445</t>
  </si>
  <si>
    <t>RG HOLDINGS SERVICE CHAR</t>
  </si>
  <si>
    <t>2303260102
172807</t>
  </si>
  <si>
    <t>PHUB22295 5811</t>
  </si>
  <si>
    <t>RETURN OF DEPOSIT</t>
  </si>
  <si>
    <t>PHUB22300 6953</t>
  </si>
  <si>
    <t>TRUSTEE FEES</t>
  </si>
  <si>
    <t>PHUB22385 4291</t>
  </si>
  <si>
    <t>LTV75 COMPELTIO N</t>
  </si>
  <si>
    <t>2304071053
392819</t>
  </si>
  <si>
    <t>2304260033
487637</t>
  </si>
  <si>
    <t>2305070240
521316</t>
  </si>
  <si>
    <t>2305070240
531339</t>
  </si>
  <si>
    <t>2305121147
384951</t>
  </si>
  <si>
    <t>2305260028
580260</t>
  </si>
  <si>
    <t>PHUB23609 4626</t>
  </si>
  <si>
    <t>2306110509
368420</t>
  </si>
  <si>
    <t>2306110509
388435</t>
  </si>
  <si>
    <t>PHUB23906 3146</t>
  </si>
  <si>
    <t>MOB120623 1015331177
908</t>
  </si>
  <si>
    <t>PHUB23927 0340</t>
  </si>
  <si>
    <t>FBPRV0057 56</t>
  </si>
  <si>
    <t>PHUB23971 0812</t>
  </si>
  <si>
    <t>PHUB24041 6998</t>
  </si>
  <si>
    <t>1000120293
00003</t>
  </si>
  <si>
    <t>2306201534
011144</t>
  </si>
  <si>
    <t>PHUB24108 3277</t>
  </si>
  <si>
    <t>2306260016
354876</t>
  </si>
  <si>
    <t>PHUB24585 7512</t>
  </si>
  <si>
    <t>INV 2023
00402</t>
  </si>
  <si>
    <t>PHUB24585 8594</t>
  </si>
  <si>
    <t>INV 000062</t>
  </si>
  <si>
    <t>PHUB24585 8609</t>
  </si>
  <si>
    <t>PI 2023 01
000062</t>
  </si>
  <si>
    <t>2307121813
554127</t>
  </si>
  <si>
    <t>PHUB24611 3631</t>
  </si>
  <si>
    <t>EMPLOYEE REIMBURS E SATWA</t>
  </si>
  <si>
    <t>PHUB24611 4410</t>
  </si>
  <si>
    <t>WILDFLOW ER K1 PREPAYEM NT</t>
  </si>
  <si>
    <t>PHUB24685 5340</t>
  </si>
  <si>
    <t>PHUB24685 8329</t>
  </si>
  <si>
    <t>PHUB24688 3775</t>
  </si>
  <si>
    <t>PHUB24694 3794</t>
  </si>
  <si>
    <t>PHUB24709 1239</t>
  </si>
  <si>
    <t>PHUB24709 2549</t>
  </si>
  <si>
    <t>PHUB24709 2652</t>
  </si>
  <si>
    <t>PHUB24711 4667</t>
  </si>
  <si>
    <t>INV 2023
00427</t>
  </si>
  <si>
    <t>2307200339
345917</t>
  </si>
  <si>
    <t>2307200339
345924</t>
  </si>
  <si>
    <t>PHUB24837 1226</t>
  </si>
  <si>
    <t>SALES PROGRESS ION RG HOLD</t>
  </si>
  <si>
    <t>2307260031
064293</t>
  </si>
  <si>
    <t>PHUB25051 4002</t>
  </si>
  <si>
    <t>INVOICE 2023 01
000068</t>
  </si>
  <si>
    <t>2308011547
082853</t>
  </si>
  <si>
    <t>PHUB25134 5193</t>
  </si>
  <si>
    <t>REIMBURS MENT CITY WALK</t>
  </si>
  <si>
    <t>PHUB25367 7952</t>
  </si>
  <si>
    <t>MOB150823 1012531442
730</t>
  </si>
  <si>
    <t>PHUB25371 3578</t>
  </si>
  <si>
    <t>MOB150823 1124511443
221</t>
  </si>
  <si>
    <t>2308151129
471677</t>
  </si>
  <si>
    <t>Cash Withdrawal</t>
  </si>
  <si>
    <t>2308151129
471682</t>
  </si>
  <si>
    <t>Cash Withdrawal Charge</t>
  </si>
  <si>
    <t>PHUB25373 3306</t>
  </si>
  <si>
    <t>DIKSHA REIMBURS EMENT</t>
  </si>
  <si>
    <t>PHUB25373 5002</t>
  </si>
  <si>
    <t>INV 00202302 IYMSM</t>
  </si>
  <si>
    <t>PHUB25528 0956</t>
  </si>
  <si>
    <t>DO 55667</t>
  </si>
  <si>
    <t>PHUB25550 9708</t>
  </si>
  <si>
    <t>SER 5178</t>
  </si>
  <si>
    <t>2308260045
276329</t>
  </si>
  <si>
    <t>PHUB25728 6659</t>
  </si>
  <si>
    <t>REIMBURS EMENT FOR K1</t>
  </si>
  <si>
    <t>Cheque Withdrawal 000061</t>
  </si>
  <si>
    <t>Cheque Withdrawal Fee</t>
  </si>
  <si>
    <t>2308310314
130867</t>
  </si>
  <si>
    <t>2308310314
161054</t>
  </si>
  <si>
    <t>PHUB25806 3039</t>
  </si>
  <si>
    <t>YFK PI 230014</t>
  </si>
  <si>
    <t>PHUB25820 5300</t>
  </si>
  <si>
    <t>INV 092001</t>
  </si>
  <si>
    <t>PHUB25997 7564</t>
  </si>
  <si>
    <t>S 141351</t>
  </si>
  <si>
    <t>PHUB26120 7046</t>
  </si>
  <si>
    <t>REIMBURS E FOR SATWA SERVI</t>
  </si>
  <si>
    <t>PHUB26153 9435</t>
  </si>
  <si>
    <t>CITY WALK AUTOMATI ON</t>
  </si>
  <si>
    <t>PHUB26153 9472</t>
  </si>
  <si>
    <t>INVOICE 2023 00400</t>
  </si>
  <si>
    <t>PHUB26212 7240</t>
  </si>
  <si>
    <t>PHUB26213 6049</t>
  </si>
  <si>
    <t>MOB190923 1021461611
225</t>
  </si>
  <si>
    <t>PHUB26217 1797</t>
  </si>
  <si>
    <t>INV 2023
00483</t>
  </si>
  <si>
    <t>2309191726
216278</t>
  </si>
  <si>
    <t>Cheque Withdrawal 000062</t>
  </si>
  <si>
    <t>2309260053
427370</t>
  </si>
  <si>
    <t>PHUB26368 9821</t>
  </si>
  <si>
    <t>PHUB26386 6374</t>
  </si>
  <si>
    <t>EST 000021</t>
  </si>
  <si>
    <t>PHUB26386 8229</t>
  </si>
  <si>
    <t>DEPOSIT</t>
  </si>
  <si>
    <t>PHUB26419 2593</t>
  </si>
  <si>
    <t>LAND EXT JGE SU A L027</t>
  </si>
  <si>
    <t>PHUB26426 2868</t>
  </si>
  <si>
    <t>INV 999</t>
  </si>
  <si>
    <t>2309280959
005729</t>
  </si>
  <si>
    <t>PHUB26464 0819</t>
  </si>
  <si>
    <t>INV 36477</t>
  </si>
  <si>
    <t>Cheque Withdrawal 000066</t>
  </si>
  <si>
    <t>PHUB26574 1318</t>
  </si>
  <si>
    <t>INV 087 001
1</t>
  </si>
  <si>
    <t>PHUB26574 1838</t>
  </si>
  <si>
    <t>YFK PI 230015</t>
  </si>
  <si>
    <t>PHUB26574 3081</t>
  </si>
  <si>
    <t>HMIE 18092023
2271</t>
  </si>
  <si>
    <t>PHUB26641 4853</t>
  </si>
  <si>
    <t>INV 5015422</t>
  </si>
  <si>
    <t>PHUB26681 6925</t>
  </si>
  <si>
    <t>ABDULLA REIMBURS EMENT</t>
  </si>
  <si>
    <t>PHUB26759 2664</t>
  </si>
  <si>
    <t>PHUB26825 1009</t>
  </si>
  <si>
    <t>REIMB FOR RENDERS</t>
  </si>
  <si>
    <t>PHUB26957 0419</t>
  </si>
  <si>
    <t>INV 5015633</t>
  </si>
  <si>
    <t>PHUB26957 2927</t>
  </si>
  <si>
    <t>INV 000021</t>
  </si>
  <si>
    <t>PHUB26958 9481</t>
  </si>
  <si>
    <t>PRF 003275081</t>
  </si>
  <si>
    <t>PHUB26979 7702</t>
  </si>
  <si>
    <t>YFK PI 230018</t>
  </si>
  <si>
    <t>PHUB27084 5152</t>
  </si>
  <si>
    <t>TLC QUANT 001 08A</t>
  </si>
  <si>
    <t>PHUB27109 9253</t>
  </si>
  <si>
    <t>REIMB STOOL CITYWALK</t>
  </si>
  <si>
    <t>PHUB27109 9644</t>
  </si>
  <si>
    <t>REIMB TAXIS</t>
  </si>
  <si>
    <t>2310260030
450575</t>
  </si>
  <si>
    <t>PHUB27216 3046</t>
  </si>
  <si>
    <t>SFZE SO 000327508</t>
  </si>
  <si>
    <t>PHUB27326 9587</t>
  </si>
  <si>
    <t>REIMB</t>
  </si>
  <si>
    <t>PHUB27326 9895</t>
  </si>
  <si>
    <t>REIMB LIGHTS</t>
  </si>
  <si>
    <t>PHUB27327 0757</t>
  </si>
  <si>
    <t>OWN ACCOUNT</t>
  </si>
  <si>
    <t>PHUB27372 8485</t>
  </si>
  <si>
    <t>CID 412101</t>
  </si>
  <si>
    <t>PHUB27444 7035</t>
  </si>
  <si>
    <t>POA TI 18510</t>
  </si>
  <si>
    <t>PHUB27506 0520</t>
  </si>
  <si>
    <t>105 111083</t>
  </si>
  <si>
    <t>PHUB27544 2416</t>
  </si>
  <si>
    <t>HB4040</t>
  </si>
  <si>
    <t>PHUB27545 0501</t>
  </si>
  <si>
    <t>HB4029</t>
  </si>
  <si>
    <t>PHUB27604 1933</t>
  </si>
  <si>
    <t>INV 2023
00520</t>
  </si>
  <si>
    <t>PHUB27694 1799</t>
  </si>
  <si>
    <t>PHUB27694 1813</t>
  </si>
  <si>
    <t>PHUB27754 8580</t>
  </si>
  <si>
    <t>PHUB27780 7336</t>
  </si>
  <si>
    <t>TAXI REIMB</t>
  </si>
  <si>
    <t>PHUB27803 2428</t>
  </si>
  <si>
    <t>MOB171123 1303251945
394</t>
  </si>
  <si>
    <t>PHUB27853 6082</t>
  </si>
  <si>
    <t>MOB201123 1104461958
201</t>
  </si>
  <si>
    <t>2311260021
324280</t>
  </si>
  <si>
    <t>PHUB28061 0010</t>
  </si>
  <si>
    <t>PI 230035</t>
  </si>
  <si>
    <t>PHUB28061 0575</t>
  </si>
  <si>
    <t>INV 230030</t>
  </si>
  <si>
    <t>PHUB28061 0988</t>
  </si>
  <si>
    <t>PI 230036</t>
  </si>
  <si>
    <t>PHUB28524 9250</t>
  </si>
  <si>
    <t>INV 38708</t>
  </si>
  <si>
    <t>PHUB28524 9945</t>
  </si>
  <si>
    <t>INV YFK 230033</t>
  </si>
  <si>
    <t>PHUB28598 3674</t>
  </si>
  <si>
    <t>INV 000244579 1</t>
  </si>
  <si>
    <t>PHUB28616 2793</t>
  </si>
  <si>
    <t>HMIE 15122023
2860</t>
  </si>
  <si>
    <t>PHUB28616 7523</t>
  </si>
  <si>
    <t>PI 20318 2</t>
  </si>
  <si>
    <t>PHUB28686 3158</t>
  </si>
  <si>
    <t>PHUB28686 4383</t>
  </si>
  <si>
    <t>PHUB28753 7436</t>
  </si>
  <si>
    <t>MOB211223 1528532156
940</t>
  </si>
  <si>
    <t>PHUB28852 2011</t>
  </si>
  <si>
    <t>REIBURSE MENT</t>
  </si>
  <si>
    <t>PHUB28852 9484</t>
  </si>
  <si>
    <t>INV 205752</t>
  </si>
  <si>
    <t>PHUB28857 6546</t>
  </si>
  <si>
    <t>2312260143
596021</t>
  </si>
  <si>
    <t>PHUB28876 5079</t>
  </si>
  <si>
    <t>PHUB28938 6423</t>
  </si>
  <si>
    <t>INV DXB S 14202</t>
  </si>
  <si>
    <t>PHUB28952 3432</t>
  </si>
  <si>
    <t>INV 11122023
2271</t>
  </si>
  <si>
    <t>PHUB28952 3437</t>
  </si>
  <si>
    <t>INV 11122023
2271
DUCTS</t>
  </si>
  <si>
    <t>PHUB29005 2947</t>
  </si>
  <si>
    <t>VAR 450</t>
  </si>
  <si>
    <t>PHUB29006 9804</t>
  </si>
  <si>
    <t>LAND WF K006</t>
  </si>
  <si>
    <t>Oepning Balance</t>
  </si>
  <si>
    <t>Cheque Deposit 500025 Dalbir Singh Sohan Singh Chq No ::500025</t>
  </si>
  <si>
    <t>Smartstart Account Monthly Service Fee</t>
  </si>
  <si>
    <t>Bc Issued In Favour Of::Aliya Helal Salem Bintarraf Almansoo Ri Bc No Is: 776991</t>
  </si>
  <si>
    <t>Cashiers Order Charge (Commerci Al)</t>
  </si>
  <si>
    <t>Bc Issued In Favour Of::White And White Real Estate Llc Bc No Is: 776992</t>
  </si>
  <si>
    <t>Bc Issued In Favour Of::Emirates Nbd Bank Bc No Is: 776993</t>
  </si>
  <si>
    <t>Bc Issued In Favour Of::Dubai Land Departme Nt Bc No Is: 776994</t>
  </si>
  <si>
    <t>O/W Trf2117684 16</t>
  </si>
  <si>
    <t>Trf To Rg Holdings Limited</t>
  </si>
  <si>
    <t>O/W Trf 213878636</t>
  </si>
  <si>
    <t>O/W Trf 214081132</t>
  </si>
  <si>
    <t>B/O_Prime Nova_Meb L_21580752 6_1112402</t>
  </si>
  <si>
    <t>I/W Clearing Cheque</t>
  </si>
  <si>
    <t>O/W Trf 217358276</t>
  </si>
  <si>
    <t>O/W Trf 220134445</t>
  </si>
  <si>
    <t>O/W Trf 222955811</t>
  </si>
  <si>
    <t>O/W Trf 223006953</t>
  </si>
  <si>
    <t>Cheque Deposit 896566 Rachit Gulati Chq No ::896566</t>
  </si>
  <si>
    <t>O/W Trf 223854291</t>
  </si>
  <si>
    <t>Funds Transfer To Fd - 12654370940001</t>
  </si>
  <si>
    <t>Interest Payout 12654370940001</t>
  </si>
  <si>
    <t>Principal Payout 12654370940001</t>
  </si>
  <si>
    <t>Funds Transfer To Fd - 12654370940002</t>
  </si>
  <si>
    <t>B/O_Ace Commod_A Dib_236094 626_Loan</t>
  </si>
  <si>
    <t>Cheque Deposit 500037 Karizza Jeanz Corsat Lumberachq No::500037</t>
  </si>
  <si>
    <t>Interest Payout 12654370940002</t>
  </si>
  <si>
    <t>Principal Payout 12654370940002</t>
  </si>
  <si>
    <t>Bc Issued In Favour Of::Dubai Land Departme Nt Bc No Is: 781918</t>
  </si>
  <si>
    <t>Bc Issued In Favour Of::E And T Real Estate Broker Llc Bc No Is: 781919</t>
  </si>
  <si>
    <t>Bc Issued In Favour Of::Neelesh War Bhatnaga R Bc No Is: 781917</t>
  </si>
  <si>
    <t>Bc Issued In Favour Of::Neelesh War Bhatnaga R Bc No Is: 781920</t>
  </si>
  <si>
    <t>O/W Trf 239270340</t>
  </si>
  <si>
    <t>O/W Trf 239710812</t>
  </si>
  <si>
    <t>O/W Trf 240416998</t>
  </si>
  <si>
    <t>Funds Transfer To Fd - 12654370940003</t>
  </si>
  <si>
    <t>B/O_Dubai Elec_Ebil_ 241083277_0020051</t>
  </si>
  <si>
    <t>O/W Trf 245857512</t>
  </si>
  <si>
    <t>O/W Trf 245858594</t>
  </si>
  <si>
    <t>O/W Trf 245858609</t>
  </si>
  <si>
    <t>Cheque Book Fee</t>
  </si>
  <si>
    <t>O/W Trf 246113631</t>
  </si>
  <si>
    <t>O/W Trf 246114410</t>
  </si>
  <si>
    <t>B/O_Ace Commod_A Dib_246855 340_Loan</t>
  </si>
  <si>
    <t>B/O_Ace Commod_A Dib_246858 329_Loan</t>
  </si>
  <si>
    <t>B/O_Ace Commod_A Dib_246883 775_Loan</t>
  </si>
  <si>
    <t>B/O_Royal Styl_Ebil_ 246943794_ Refund</t>
  </si>
  <si>
    <t>B/O_Ace Commod_A Dib_247091 239_Loan</t>
  </si>
  <si>
    <t>B/O_Ace Commod_A Dib_247092 549_Loan</t>
  </si>
  <si>
    <t>B/O_Ace Commod_A Dib_247092 652_Loan</t>
  </si>
  <si>
    <t>O/W Trf 247114667</t>
  </si>
  <si>
    <t>Interest Payout 12654370940003</t>
  </si>
  <si>
    <t>Principal Payout 12654370940003</t>
  </si>
  <si>
    <t>Bc Issued In Favour Of::Bbs Investmen T In Commerci Al Enterpris Esand Manageme Nt Llc Bc No Is: 782153</t>
  </si>
  <si>
    <t>Bc Issued In Favour Of::Dubai Land Departme Nt Bc No Is: 782155</t>
  </si>
  <si>
    <t>Bc Issued In Favour Of::Bbs Investmen T In Commerci Al Enterpris Esand Manageme Nt Llc Bc No Is: 782157</t>
  </si>
  <si>
    <t>Bc Issued In Favour Of::Spring Field Real Estate Bc No Is: 782156</t>
  </si>
  <si>
    <t>O/W Trf2483712 26</t>
  </si>
  <si>
    <t>Bc Issued In Favour Of::Anna Maria Petronel La Silfverski Old Bc No Is: 782175</t>
  </si>
  <si>
    <t>Bc Issued In Favour Of::Anna Maria Petronel La Silfverski Old Bc No Is: 782176</t>
  </si>
  <si>
    <t>Bc Issued In Favour Of::Dubai Land Departme Nt Bc No Is: 782174</t>
  </si>
  <si>
    <t>Bc Issued In Favour Of::Bond Homes Real Estate Llc Bc No Is: 782173</t>
  </si>
  <si>
    <t>O/W Trf2505140 02</t>
  </si>
  <si>
    <t>Funds Transfer To Fd - 12654370940004</t>
  </si>
  <si>
    <t>O/W Trf2513451 93</t>
  </si>
  <si>
    <t>O/W Trf2537333 06</t>
  </si>
  <si>
    <t>O/W Trf2537350 02</t>
  </si>
  <si>
    <t>O/W Trf 255280956</t>
  </si>
  <si>
    <t>O/W Trf2555097 08</t>
  </si>
  <si>
    <t>O/W Trf2572866 59</t>
  </si>
  <si>
    <t>Bc Issued In Favour Of::Anna Maria Petronel La Silfverski Old Bc No Is: 782368</t>
  </si>
  <si>
    <t>Bc Issued In Favour Of::Bond Homes Real Estate Llc Bc No Is: 782370</t>
  </si>
  <si>
    <t>Bc Issued In Favour Of::Dubai Land Departme Nt Bc No Is: 782367</t>
  </si>
  <si>
    <t>Bc Issued In Favour Of::Anna Maria Petronel La Silfverski Old Bc No Is: 782369</t>
  </si>
  <si>
    <t>Bc Issued In Favour Of::Bond Homes Real Estate Llc Bc No Is: 782371</t>
  </si>
  <si>
    <t>Interest Payout 12654370940004</t>
  </si>
  <si>
    <t>Principal Payout 12654370940004</t>
  </si>
  <si>
    <t>Trf To Yfk Interiors And Technical Ser L</t>
  </si>
  <si>
    <t>O/W Trf 258205300</t>
  </si>
  <si>
    <t>O/W Trf 259977564</t>
  </si>
  <si>
    <t>O/W Trf2612070 46</t>
  </si>
  <si>
    <t>O/W Trf 261539435</t>
  </si>
  <si>
    <t>O/W Trf 261539472</t>
  </si>
  <si>
    <t>O/W Trf2621272 40</t>
  </si>
  <si>
    <t>O/W Trf 262136049</t>
  </si>
  <si>
    <t>O/W Trf2621717 97</t>
  </si>
  <si>
    <t>Funds Transfer To Fd - 12654370940005</t>
  </si>
  <si>
    <t>Trf To Glaze Granite &amp; Marble Tr L.L.C</t>
  </si>
  <si>
    <t>O/W Trf2638663 74</t>
  </si>
  <si>
    <t>O/W Trf2638682 29</t>
  </si>
  <si>
    <t>Bc Issued In Favour Of::Alireza Moaref Bc No Is: 782538</t>
  </si>
  <si>
    <t>O/W Trf 264192593</t>
  </si>
  <si>
    <t>O/W Trf 264262868</t>
  </si>
  <si>
    <t>12654370940005 -Td Redempti On By Xfer T</t>
  </si>
  <si>
    <t>Bc Issued In Favour Of::Alireza Moaref Bc No Is: 782551</t>
  </si>
  <si>
    <t>Bc Issued In Favour Of::Abu Dhabi Islamic Bank Bc No Is: 782553</t>
  </si>
  <si>
    <t>Bc Issued In Favour Of::Dubai Land Departme Nt Bc No Is: 782554</t>
  </si>
  <si>
    <t>Bc Issued In Favour Of::Dax Real Estate One Person Company Llc Bc No Is: 782549</t>
  </si>
  <si>
    <t>O/W Trf 265741318</t>
  </si>
  <si>
    <t>O/W Trf 265743081</t>
  </si>
  <si>
    <t>Trf To Al Sabouh Bldg Mat Tr Co Llc</t>
  </si>
  <si>
    <t>O/W Trf2668169 25</t>
  </si>
  <si>
    <t>O/W Trf2682510 09</t>
  </si>
  <si>
    <t>O/W Trf2695729 27</t>
  </si>
  <si>
    <t>O/W Trf2695894 81</t>
  </si>
  <si>
    <t>O/W Trf 270845152</t>
  </si>
  <si>
    <t>O/W Trf2710992 53</t>
  </si>
  <si>
    <t>O/W Trf2710996 44</t>
  </si>
  <si>
    <t>O/W Trf2721630 46</t>
  </si>
  <si>
    <t>O/W Trf2732695 87</t>
  </si>
  <si>
    <t>O/W Trf2732698 95</t>
  </si>
  <si>
    <t>O/W Trf 273728485</t>
  </si>
  <si>
    <t>O/W Trf2744470 35</t>
  </si>
  <si>
    <t>O/W Trf 275060520</t>
  </si>
  <si>
    <t>O/W Trf2754424 16</t>
  </si>
  <si>
    <t>O/W Trf2754505 01</t>
  </si>
  <si>
    <t>O/W Trf2760419 33</t>
  </si>
  <si>
    <t>B/O_Ace Commod_A Dib_276941 799_2023111</t>
  </si>
  <si>
    <t>B/O_Ace Commod_A Dib_276941 813_2023111</t>
  </si>
  <si>
    <t>Bc Issued In Favour Of::Miralem Pjanic Bc No Is: 782800</t>
  </si>
  <si>
    <t>Bc Issued In Favour Of::Dubai Land Departme Nt Bc No Is: 782801</t>
  </si>
  <si>
    <t>Bc Issued In Favour Of::Ev Real Estate Brokerag E Llc Bc No Is: 782802</t>
  </si>
  <si>
    <t>O/W Trf 277548580</t>
  </si>
  <si>
    <t>O/W Trf2778073 36</t>
  </si>
  <si>
    <t>O/W Trf2859836 74</t>
  </si>
  <si>
    <t>O/W Trf 286162793</t>
  </si>
  <si>
    <t>O/W Trf 286167523</t>
  </si>
  <si>
    <t>B/O_Dmcc Ace C_Adib_286 863158_2023121</t>
  </si>
  <si>
    <t>B/O_Dmcc Ace C_Adib_286 864383_2023121</t>
  </si>
  <si>
    <t>O/W Trf2885220 11</t>
  </si>
  <si>
    <t>O/W Trf2885294 84</t>
  </si>
  <si>
    <t>R/E O/W Trf2885294 84 Expired Transacti On</t>
  </si>
  <si>
    <t>O/W Trf 288576546</t>
  </si>
  <si>
    <t>B/O_Jumei Rah G_Ebil_288765079_Paid Ag</t>
  </si>
  <si>
    <t>Trf To Arteco Ceramics L.L.C</t>
  </si>
  <si>
    <t>O/W Trf 289523432</t>
  </si>
  <si>
    <t>O/W Trf 289523437</t>
  </si>
  <si>
    <t>O/W Trf2900529 47</t>
  </si>
  <si>
    <t>O/W Trf 290069804</t>
  </si>
  <si>
    <t>Outword Transfer</t>
  </si>
  <si>
    <t>Interest</t>
  </si>
  <si>
    <t>FD</t>
  </si>
  <si>
    <t>Chq. Withdrawal</t>
  </si>
  <si>
    <t>Reciept</t>
  </si>
  <si>
    <t>Payment</t>
  </si>
  <si>
    <t>Customer/Vendor Name</t>
  </si>
  <si>
    <t>Yfk Interiors And Technical Serl</t>
  </si>
  <si>
    <t>Arteco Ceramic LLC</t>
  </si>
  <si>
    <t>Al Sabouh Bldg Mat Tr Co Llc</t>
  </si>
  <si>
    <t>Glaze Granite &amp; Marble Tr L.L.C</t>
  </si>
  <si>
    <t>ACE Commodity Loan</t>
  </si>
  <si>
    <t>CHq Deposit</t>
  </si>
  <si>
    <t>Dewa</t>
  </si>
  <si>
    <t xml:space="preserve">Principal Payout </t>
  </si>
  <si>
    <t>Redemption</t>
  </si>
  <si>
    <t>ACE Dmcc (ADIB)</t>
  </si>
  <si>
    <t xml:space="preserve">Prime Nova </t>
  </si>
  <si>
    <t>Refund</t>
  </si>
  <si>
    <t>Sundry</t>
  </si>
  <si>
    <t>Balance COnfirmation Issued</t>
  </si>
  <si>
    <t>Grand Total</t>
  </si>
  <si>
    <t xml:space="preserve"> Reciept</t>
  </si>
  <si>
    <t xml:space="preserve"> Payment</t>
  </si>
  <si>
    <t>YPO Mena One FZ LLC</t>
  </si>
  <si>
    <t xml:space="preserve">Account Number- 019100457964 </t>
  </si>
  <si>
    <t>Mashreq Bank Analysis</t>
  </si>
  <si>
    <t>Salary</t>
  </si>
  <si>
    <t>Magus Consultancy</t>
  </si>
  <si>
    <t>Brewing Bread</t>
  </si>
  <si>
    <t>Abadia Retuerta</t>
  </si>
  <si>
    <t>Bureau Business</t>
  </si>
  <si>
    <t>Alma Hotels Barcelona</t>
  </si>
  <si>
    <t>Alma Carraovejas</t>
  </si>
  <si>
    <t>Uptown Tower Hotelmanagement</t>
  </si>
  <si>
    <t>The Bureau Business</t>
  </si>
  <si>
    <t>Janice Adelina Cunningham</t>
  </si>
  <si>
    <t>Chip And Dale Technicalservices</t>
  </si>
  <si>
    <t>Paddle 700 Fitness Hub Llc</t>
  </si>
  <si>
    <t>Network International Llc</t>
  </si>
  <si>
    <t>Signature Hospitalitymanagement Dmcc</t>
  </si>
  <si>
    <t>Ats Shipping Llc</t>
  </si>
  <si>
    <t>Tecom Investment Fz Llc</t>
  </si>
  <si>
    <t>Stories Fze Llc</t>
  </si>
  <si>
    <t>Rizkallah Abed</t>
  </si>
  <si>
    <t>Deep Dive Dubal Llc</t>
  </si>
  <si>
    <t>Jr Gonic Sl</t>
  </si>
  <si>
    <t>Chip And Dale Technical Services</t>
  </si>
  <si>
    <t>Rey Anthony Mailed</t>
  </si>
  <si>
    <t>Tailoring And Embroidery Llc</t>
  </si>
  <si>
    <t>Museu Pixasso De</t>
  </si>
  <si>
    <t>Restaurent Disfrutar</t>
  </si>
  <si>
    <t>Presidents'Organization Inc</t>
  </si>
  <si>
    <t>Sneha Kishore Kevalram</t>
  </si>
  <si>
    <t>Date</t>
  </si>
  <si>
    <t>Particulars</t>
  </si>
  <si>
    <t>Amount (AED)</t>
  </si>
  <si>
    <t>Breakdown of stripe receipts-Event detail</t>
  </si>
  <si>
    <t>Name of the member</t>
  </si>
  <si>
    <t>Charges</t>
  </si>
  <si>
    <t>Net received</t>
  </si>
  <si>
    <t>Total</t>
  </si>
  <si>
    <t>Breakdown of stripe receipts</t>
  </si>
  <si>
    <t>Young Presidents Organization</t>
  </si>
  <si>
    <t>VAT</t>
  </si>
  <si>
    <t>Suspense</t>
  </si>
  <si>
    <t>Comments</t>
  </si>
  <si>
    <t>Event</t>
  </si>
  <si>
    <t>Period from:  01 Sept 2025 to 30th Sept 2025</t>
  </si>
  <si>
    <t>VAT on Bank charges</t>
  </si>
  <si>
    <t>Bank charges</t>
  </si>
  <si>
    <t>Online International Money Transfer TOC-UAE013317491-250901130239
PAYMENT FOR PROFESSIONAL SERVICES /LT963250008271745121
MATRIX DEVELOPMENT SRO REVOLT21XXX SRN: W01092560036INF</t>
  </si>
  <si>
    <t>Reversal of Bank charges</t>
  </si>
  <si>
    <t>Reversal of VAT on bank charges</t>
  </si>
  <si>
    <t>Funds Transfer UP TO 4.3% SPECIAL RATE CAMPAIGN INTEREST PAYOUT 459427</t>
  </si>
  <si>
    <t>Online Local Fund Transfer TOC-UAE-013317491-
250902182719 SALARY/AE440260000959044958701
MICHELLE PEREZ EBILAEADXXX SRN: W02092589773LOC</t>
  </si>
  <si>
    <t>Online International Money Transfer TOC-UAE013317491-250908101630
PAYMENT FOR PROFESSIONAL SERVICES /BH79ABCO36630279101001
JUHI KEWALRAM ABCOBHBMXXX SRN: W080925157499INF</t>
  </si>
  <si>
    <t>Online Local Fund Transfer TOC-UAE-013317491-250908120449 PAYMENT
FOR PROFESSIONAL SERVICES /AE020260001015848814401
AKUA AND LITT RESTAURANT LLC EBILAEADXXX SRN:W080925160485LOC</t>
  </si>
  <si>
    <t>Inward Remittance FUND TRANSFER /AE840860000009587103168
1/YPO MENA GULF F.Z.C LBS EVENT SRN:S065252205E601</t>
  </si>
  <si>
    <t>Inward Remittance FUND TRANSFER /AE840860000009587103168
1/YPO MENA GULF F.Z.C 4TH OCT EVENT SRN:S0652521FA4701 /OUR</t>
  </si>
  <si>
    <t>IPP TRANSFER AE260030011767190920001 - THE MONTGOMERIE HOTEL LLC - /REF/ PAYMENT FOR PROFESSIONAL SERVICES SEPT BOARD MEETING -
BOMLAEAD_89980390 - T_A8B66BFE18804177AB7C9FA7CCC0451D</t>
  </si>
  <si>
    <t>Inward Remittance FUND TRANSFER /AE900200000022501498002
NETWORK INTERNATIONAL LLC/REF/AEL2509100006517
NTSUB T1J7Z8V HTYZQQM POS-STRIPE7ZXVLEJ4MN2DNFQOE7FWWTGX
SRN:0IA7180038447549 //REC/1022509100001148003480 /SHA</t>
  </si>
  <si>
    <t>IPP TRANSFER AE240030010748465920001 - AL HABTOOR PALACE
HOTEL LLC - /REF/ PAYMENT FOR PROFESSIONAL SERVICES -
BOMLAEAD_90808546 - T_98FDFFEC37044922B1CF6352F828AD02</t>
  </si>
  <si>
    <t>Inward Remittance FUND TRANSFER/AE900200000022501498002
NETWORK INTERNATIONAL LLC /REF/AEL2509150008154
NTSUB T3BFLFE DJDVZLO POS-STRIPEQRTAQ78SD8KCVRXKGOQNHTAW
SRN:1IF2030038523556//REC/1022509150001680004109 /SHA</t>
  </si>
  <si>
    <t>IPP TRANSFER AE180260001011040931901 - ROYAL MIRAGE HOTEL -
/REF/ PAYMENT FOR PROFESSIONAL SERVICES - BOMLAEAD_91575444 -
T_1039EDC600A2409B956F009A84EE2511</t>
  </si>
  <si>
    <t>IPP TRANSFER AE690260001015823033602 - UPTOWN TOWER
HOTEL MANAGEMENT -/REF/ PAYMENT FORPROFESSIONAL SERVICES -
BOMLAEAD_91577258 -T_7B79AEFD4F384DE5A76223DD644CF8F3</t>
  </si>
  <si>
    <t>Inward Remittance FUND TRANSFER /AE900200000022501498002
NETWORK INTERNATIONAL LLC/REF/AEL2509160004102
NTSUB T3YTQ6R MB01CQP POS-STRIPEK7P6GDHYVDTZWKTBGLEDJRN7
SRN:0IG8150038551120//REC/1022509160001127001565 /SHA</t>
  </si>
  <si>
    <t>Inward Remittance FUND TRANSFER/AE840860000009587103168
1/YPO MENA GULF F.Z.C LBSEVENT SRN:S0652592B3CC01</t>
  </si>
  <si>
    <t>Inward Remittance FUND TRANSFER /AE900200000022501498002
NETWORK INTERNATIONAL LLC /REF/AEL2509170003198 NTSUB 
T4LHCQH T373BXM POS-STRIPEU4FVQYBUP0L0MZPL1LCFFMF8 SRN:0IH7280038573245 //REC/1022509170001029 000674 /SHA</t>
  </si>
  <si>
    <t>IPP TRANSFER AE3800300128011059200
01 - EVENTREPRIZE PARTIES AND WEDDING SE - /REF/
PAYMENT FOR PROFESSIONAL SERVICES NV-2025-0048 - BOMLAEAD_92435656 -T_09C1E9A8EF6C4452AA43EA3F1E21FD0C</t>
  </si>
  <si>
    <t>Inward Remittance FUND TRANSFER /AE900200000022501498002
NETWORK INTERNATIONAL LLC/REF/AEL2509220007541
NTSUB T6DQNYK E75HNLU POS-STRIPEEXTVHCLRABNMJ6DP
IWYUSUO8 SRN:1IM1270038644596//REC/1022509220001276002842 /SHA</t>
  </si>
  <si>
    <t>IPP TRANSFER AE91003001283744591000 1 - SNEHA KISHOREKEWALRAM - /REF/ SALARY AUGUST SALARY - BOMLAEAD_93594904 T_C8C68E2103F34B30AD4 609C0595B7BB9</t>
  </si>
  <si>
    <t>Acct to Acct transfer FUND TRANSFER - 019101279297 -REGAL GROUP
INVESTMENTS LLC TOCUAE-014748206-25092309231 PAYMENT FOR PROFESSIONAL SERVICES /AE780330000019101279297 REGAL GROUP
INVESTMENTS LLC LIVE CYBERSECURITY VIKRAM SHROFF SRN:
W230925375765WAM</t>
  </si>
  <si>
    <t>Online Local Fund Transfer TOC-UAE-013317491-250923115931 PAYMENT
FOR PROFESSIONAL SERVICES /AE230446405700000431785
DIFC SCBLAEADXXX SRN: W230925379522LOC</t>
  </si>
  <si>
    <t>IPP TRANSFER AE340230000001001401585 - ZABEEL SARAY HOTEL FZE - /REF/ PAYMENT FOR PROFESSIONAL SERVICES CI EVENT DEPOSIT -
BOMLAEAD_93985233 -T_ABCC256A31924A46B0580BAC655D9AC5</t>
  </si>
  <si>
    <t>Inward Remittance FUND TRANSFER /AE090440000001212179502
MARIA TAPAL /REF/.SRN:RB99992509271825//REC/1032509270112553
000001 /OUR</t>
  </si>
  <si>
    <t>IPP TRANSFER AE180260001011040931901 - ROYAL MIRAGE HOTEL -
/REF/ PAYMENT FOR PROFESSIONAL SERVICES -BOMLAEAD_94940198 -
T_08470498A8FC4DC0ABA8CE7BADF75485</t>
  </si>
  <si>
    <t>Inward Remittance FUND TRANSFER /257326 YOUNG PRESIDENTS
ORGANIZATION INC S /REF/PROFESSIONAL FEES PAYMENT/CHAPTER DUES
2026002 SRN:2526904329143000//INS/1032509290016548000001
/INS/CMFXGB2LXXX /INS/BARCGB22XXX /OUR</t>
  </si>
  <si>
    <t>Online Local Fund Transfer TOC-UAE-013317491-250929105257 TAX
PAYMENT /AE268680100443001100003 FEDERAL TAX AUTHORITY
E868AEXXXXX SRN: W290925466892LOC</t>
  </si>
  <si>
    <t>IPP TRANSFER AE440260000959044958701 - MICHELLE PEREZ -
/REF/ SALARY SEPT 2025 SALARY - BOMLAEAD_95644853 -
T_9C046E2AACFC44A6AA CE60C69F7DFC46</t>
  </si>
  <si>
    <t>IPP TRANSFER AE910030012837445910001 - SNEHA KISHORE
KEWALRAM - /REF/ SALARY- BOMLAEAD_95646308 -T_4C2E7D8C17EF47AB950964133355FEEE</t>
  </si>
  <si>
    <t>IPP TRANSFER AE020260001015848814401 - AKUA AND LITT
RESTAURANT LLC - /REF/PAYMENT FOR PROFESSIONAL SERVICES
INV-0171 - BOMLAEAD_95800809 -T_200B7E51FE59485C81A7B9DF69BE874C</t>
  </si>
  <si>
    <t>IPP TRANSFER AE040351881323716984014 - PRECISE TRADING LLC -
/REF/ PAYMENT FOR PROFESSIONAL SERVICESI20250152 -
BOMLAEAD_95802182 -T_D6E40602102A42019170539A3E4CE482</t>
  </si>
  <si>
    <t>IPP TRANSFER AE470200000011488160001 - MR FIRAS MALLAH - WEBI
-ENIPA250930184514816566A77A97572 -250930IBAK02012</t>
  </si>
  <si>
    <t>Invoice received</t>
  </si>
  <si>
    <t>Interest Income</t>
  </si>
  <si>
    <t>Sneha's Salary</t>
  </si>
  <si>
    <t>Matrix Development s.r.o</t>
  </si>
  <si>
    <t>Opening Party 2025</t>
  </si>
  <si>
    <t>Details on next sheet</t>
  </si>
  <si>
    <t>Sumeet Shewakramani</t>
  </si>
  <si>
    <t>Yan Gao</t>
  </si>
  <si>
    <t>Against Inv No SINV-2025-07-001</t>
  </si>
  <si>
    <t>Santosh Keni</t>
  </si>
  <si>
    <t>Sanjay Israni</t>
  </si>
  <si>
    <t>Cedric Le Goff</t>
  </si>
  <si>
    <t>Invoice SINV-2025-09-002</t>
  </si>
  <si>
    <t>VAT Payment for the quarter Jun to Aug 2025</t>
  </si>
  <si>
    <t>Only receipt received. Invoice required</t>
  </si>
  <si>
    <t>Registration fees for "The Joy of the Unfinished -Mini Retreat-Amsterdam"</t>
  </si>
  <si>
    <t>Salary AED 9000, AED 1,003 for reimbursement of exps</t>
  </si>
  <si>
    <t>Invoice received. Payment is 50%</t>
  </si>
  <si>
    <t>Unlock Self-Intelligence Speaker Nicholas Janni; 7 to 8th Nov 2025</t>
  </si>
  <si>
    <t>Two invpoice from Juju Art</t>
  </si>
  <si>
    <t>Ageing parents event and Fireside chat with Sheikh</t>
  </si>
  <si>
    <t>Against Inv NO SINV-2028-08-001</t>
  </si>
  <si>
    <t>Against Inv NO SINV-2028-08-002</t>
  </si>
  <si>
    <t>Against Inv No 85813542 dtd 12-9-2025</t>
  </si>
  <si>
    <t>Have requested for final invoice this being 75% payment</t>
  </si>
  <si>
    <t>Board Meeting</t>
  </si>
  <si>
    <t>Fireside chat event</t>
  </si>
  <si>
    <t>Cybersecurity event</t>
  </si>
  <si>
    <t>Invoice dated October 2025</t>
  </si>
  <si>
    <t>Invoice received AED 6000, AED 3000 was paid on 29th August 2025</t>
  </si>
  <si>
    <t>For Legacy Motion event</t>
  </si>
  <si>
    <t>Received the amount twice refer 9th Sept 2025</t>
  </si>
  <si>
    <t>Roy Nouhra</t>
  </si>
  <si>
    <t>YPO new company in DIFC expenses</t>
  </si>
  <si>
    <t>Deposit 50%</t>
  </si>
  <si>
    <t>Ageing parents event 21st Nov 2025</t>
  </si>
  <si>
    <t>Invoice received dated Oct 2025</t>
  </si>
  <si>
    <t>AED 9000 salary and 1,545 expenses</t>
  </si>
  <si>
    <t>Sneha's salary</t>
  </si>
  <si>
    <t>Opening Party</t>
  </si>
  <si>
    <t>SINV-2025-09-006</t>
  </si>
  <si>
    <t>SINV-2025-09-007</t>
  </si>
  <si>
    <t>SINV-2025-09-008</t>
  </si>
  <si>
    <t>SINV-2025-09-009</t>
  </si>
  <si>
    <t>SINV-2025-09-010</t>
  </si>
  <si>
    <t>SINV-2025-09-011</t>
  </si>
  <si>
    <t>Against Inv SINV-2025-09-011</t>
  </si>
  <si>
    <t>Against Inv SINV-2025-09-010</t>
  </si>
  <si>
    <t>Mini Retreat Amsterdam</t>
  </si>
  <si>
    <t>Thomas Delong event</t>
  </si>
  <si>
    <t>USD 6,500 less fees USD 182 = USD 6,318 Jinny Goel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</si>
</sst>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.00_ ;_ * \-#,##0.00_ ;_ * &quot;-&quot;??_ ;_ @_ "/>
    <numFmt numFmtId="167" formatCode="_(* #,##0_);_(* \(#,##0\);_(* &quot;-&quot;??_);_(@_)"/>
    <numFmt numFmtId="168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4" xfId="0" applyFont="1" applyBorder="1"/>
    <xf numFmtId="2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167" fontId="1" fillId="0" borderId="0" xfId="0" applyNumberFormat="1" applyFont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wrapText="1"/>
    </xf>
    <xf numFmtId="167" fontId="2" fillId="0" borderId="4" xfId="0" applyNumberFormat="1" applyFont="1" applyBorder="1" applyAlignment="1">
      <alignment horizontal="right" vertical="center"/>
    </xf>
    <xf numFmtId="167" fontId="2" fillId="0" borderId="5" xfId="0" applyNumberFormat="1" applyFont="1" applyBorder="1" applyAlignment="1">
      <alignment horizontal="right" vertical="center"/>
    </xf>
    <xf numFmtId="1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8" fontId="1" fillId="0" borderId="0" xfId="2" applyNumberFormat="1" applyFont="1" applyBorder="1" applyAlignment="1">
      <alignment horizontal="right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168" fontId="1" fillId="0" borderId="0" xfId="2" applyNumberFormat="1" applyFont="1" applyBorder="1" applyAlignment="1">
      <alignment horizontal="right" vertical="center"/>
    </xf>
    <xf numFmtId="0" fontId="2" fillId="0" borderId="4" xfId="0" applyFont="1" applyBorder="1"/>
    <xf numFmtId="0" fontId="2" fillId="0" borderId="2" xfId="0" applyFont="1" applyBorder="1"/>
    <xf numFmtId="167" fontId="1" fillId="2" borderId="0" xfId="0" applyNumberFormat="1" applyFont="1" applyFill="1" applyAlignment="1">
      <alignment horizontal="right" vertical="center"/>
    </xf>
    <xf numFmtId="2" fontId="2" fillId="0" borderId="3" xfId="0" applyNumberFormat="1" applyFont="1" applyBorder="1" applyAlignment="1">
      <alignment horizontal="center" vertical="center" wrapText="1"/>
    </xf>
    <xf numFmtId="168" fontId="1" fillId="0" borderId="9" xfId="2" applyNumberFormat="1" applyFont="1" applyBorder="1" applyAlignment="1">
      <alignment horizontal="right" vertical="center" wrapText="1"/>
    </xf>
    <xf numFmtId="167" fontId="1" fillId="0" borderId="9" xfId="0" applyNumberFormat="1" applyFont="1" applyBorder="1" applyAlignment="1">
      <alignment horizontal="right" vertical="center"/>
    </xf>
    <xf numFmtId="167" fontId="2" fillId="0" borderId="8" xfId="0" applyNumberFormat="1" applyFont="1" applyBorder="1" applyAlignment="1">
      <alignment horizontal="right" vertical="center"/>
    </xf>
    <xf numFmtId="167" fontId="1" fillId="0" borderId="0" xfId="2" applyNumberFormat="1" applyFont="1" applyBorder="1" applyAlignment="1">
      <alignment horizontal="right" vertical="center"/>
    </xf>
    <xf numFmtId="167" fontId="2" fillId="0" borderId="2" xfId="2" applyNumberFormat="1" applyFont="1" applyBorder="1" applyAlignment="1">
      <alignment horizontal="right" vertical="center"/>
    </xf>
    <xf numFmtId="168" fontId="1" fillId="0" borderId="0" xfId="2" applyNumberFormat="1" applyFont="1" applyBorder="1" applyAlignment="1">
      <alignment horizontal="left" vertical="center"/>
    </xf>
    <xf numFmtId="168" fontId="1" fillId="0" borderId="0" xfId="2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8" fontId="1" fillId="0" borderId="0" xfId="2" applyNumberFormat="1" applyFont="1" applyAlignment="1">
      <alignment horizontal="right" vertical="center"/>
    </xf>
    <xf numFmtId="168" fontId="2" fillId="0" borderId="4" xfId="2" applyNumberFormat="1" applyFont="1" applyBorder="1" applyAlignment="1">
      <alignment horizontal="right" vertical="center"/>
    </xf>
    <xf numFmtId="168" fontId="1" fillId="0" borderId="0" xfId="0" applyNumberFormat="1" applyFont="1"/>
    <xf numFmtId="168" fontId="2" fillId="0" borderId="0" xfId="2" applyNumberFormat="1" applyFont="1" applyAlignment="1">
      <alignment horizontal="center" vertical="center"/>
    </xf>
    <xf numFmtId="166" fontId="2" fillId="0" borderId="3" xfId="2" applyFont="1" applyBorder="1" applyAlignment="1">
      <alignment horizontal="center" vertical="center" wrapText="1"/>
    </xf>
    <xf numFmtId="166" fontId="2" fillId="0" borderId="2" xfId="2" applyFont="1" applyBorder="1" applyAlignment="1">
      <alignment horizontal="center" vertical="center" wrapText="1"/>
    </xf>
    <xf numFmtId="166" fontId="1" fillId="0" borderId="0" xfId="2" applyFont="1" applyAlignment="1"/>
    <xf numFmtId="0" fontId="1" fillId="0" borderId="0" xfId="0" applyFont="1" applyAlignment="1">
      <alignment horizontal="left"/>
    </xf>
    <xf numFmtId="0" fontId="4" fillId="0" borderId="0" xfId="0" applyFont="1"/>
    <xf numFmtId="15" fontId="1" fillId="0" borderId="0" xfId="0" applyNumberFormat="1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wrapText="1"/>
    </xf>
    <xf numFmtId="167" fontId="0" fillId="0" borderId="0" xfId="1" applyNumberFormat="1" applyFont="1" applyFill="1"/>
    <xf numFmtId="43" fontId="0" fillId="0" borderId="0" xfId="0" applyNumberFormat="1"/>
    <xf numFmtId="167" fontId="4" fillId="0" borderId="4" xfId="0" applyNumberFormat="1" applyFont="1" applyBorder="1"/>
    <xf numFmtId="167" fontId="1" fillId="0" borderId="0" xfId="1" applyNumberFormat="1" applyFont="1" applyAlignment="1">
      <alignment horizontal="right" vertical="center"/>
    </xf>
    <xf numFmtId="2" fontId="2" fillId="0" borderId="0" xfId="0" applyNumberFormat="1" applyFont="1" applyAlignment="1">
      <alignment horizontal="center" vertical="center" wrapText="1"/>
    </xf>
    <xf numFmtId="168" fontId="2" fillId="0" borderId="0" xfId="2" applyNumberFormat="1" applyFont="1"/>
    <xf numFmtId="168" fontId="1" fillId="0" borderId="0" xfId="2" applyNumberFormat="1" applyFont="1"/>
    <xf numFmtId="168" fontId="2" fillId="0" borderId="0" xfId="2" applyNumberFormat="1" applyFont="1" applyBorder="1" applyAlignment="1">
      <alignment horizontal="right" vertical="center"/>
    </xf>
    <xf numFmtId="168" fontId="1" fillId="0" borderId="0" xfId="2" applyNumberFormat="1" applyFont="1" applyAlignment="1"/>
    <xf numFmtId="164" fontId="1" fillId="0" borderId="0" xfId="2" applyNumberFormat="1" applyFont="1" applyBorder="1" applyAlignment="1">
      <alignment horizontal="right" vertical="center"/>
    </xf>
    <xf numFmtId="164" fontId="1" fillId="0" borderId="9" xfId="2" applyNumberFormat="1" applyFont="1" applyBorder="1" applyAlignment="1">
      <alignment horizontal="right" vertical="center"/>
    </xf>
    <xf numFmtId="164" fontId="1" fillId="0" borderId="0" xfId="2" applyNumberFormat="1" applyFont="1" applyAlignment="1">
      <alignment horizontal="right" vertical="center"/>
    </xf>
    <xf numFmtId="164" fontId="2" fillId="0" borderId="4" xfId="2" applyNumberFormat="1" applyFont="1" applyBorder="1" applyAlignment="1">
      <alignment horizontal="right" vertical="center"/>
    </xf>
    <xf numFmtId="164" fontId="2" fillId="0" borderId="8" xfId="2" applyNumberFormat="1" applyFont="1" applyBorder="1" applyAlignment="1">
      <alignment horizontal="right" vertical="center"/>
    </xf>
    <xf numFmtId="164" fontId="2" fillId="0" borderId="2" xfId="2" applyNumberFormat="1" applyFont="1" applyBorder="1" applyAlignment="1">
      <alignment horizontal="right" vertical="center"/>
    </xf>
    <xf numFmtId="164" fontId="2" fillId="0" borderId="0" xfId="2" applyNumberFormat="1" applyFont="1" applyAlignment="1">
      <alignment horizontal="center" vertical="center"/>
    </xf>
    <xf numFmtId="164" fontId="1" fillId="0" borderId="0" xfId="2" applyNumberFormat="1" applyFont="1" applyAlignment="1"/>
    <xf numFmtId="164" fontId="1" fillId="0" borderId="0" xfId="2" applyNumberFormat="1" applyFont="1"/>
    <xf numFmtId="164" fontId="1" fillId="0" borderId="0" xfId="2" applyNumberFormat="1" applyFont="1" applyFill="1" applyAlignment="1">
      <alignment horizontal="right" vertical="center"/>
    </xf>
    <xf numFmtId="164" fontId="1" fillId="0" borderId="0" xfId="2" applyNumberFormat="1" applyFont="1" applyFill="1" applyAlignment="1">
      <alignment horizontal="right" vertical="center" wrapText="1"/>
    </xf>
    <xf numFmtId="164" fontId="1" fillId="0" borderId="0" xfId="2" applyNumberFormat="1" applyFont="1" applyAlignment="1">
      <alignment horizontal="right" vertical="center" wrapText="1"/>
    </xf>
    <xf numFmtId="164" fontId="1" fillId="0" borderId="0" xfId="2" applyNumberFormat="1" applyFont="1" applyFill="1" applyBorder="1" applyAlignment="1">
      <alignment horizontal="right" vertical="center"/>
    </xf>
    <xf numFmtId="164" fontId="2" fillId="0" borderId="4" xfId="2" applyNumberFormat="1" applyFont="1" applyFill="1" applyBorder="1" applyAlignment="1">
      <alignment horizontal="right" vertical="center"/>
    </xf>
    <xf numFmtId="164" fontId="1" fillId="0" borderId="0" xfId="2" applyNumberFormat="1" applyFont="1" applyFill="1"/>
    <xf numFmtId="168" fontId="1" fillId="0" borderId="0" xfId="2" applyNumberFormat="1" applyFont="1" applyFill="1"/>
    <xf numFmtId="164" fontId="1" fillId="2" borderId="0" xfId="2" applyNumberFormat="1" applyFont="1" applyFill="1" applyAlignment="1">
      <alignment horizontal="right" vertical="center" wrapText="1"/>
    </xf>
    <xf numFmtId="164" fontId="1" fillId="2" borderId="0" xfId="2" applyNumberFormat="1" applyFont="1" applyFill="1" applyAlignment="1">
      <alignment horizontal="right" vertical="center"/>
    </xf>
    <xf numFmtId="164" fontId="1" fillId="3" borderId="0" xfId="2" applyNumberFormat="1" applyFont="1" applyFill="1" applyAlignment="1">
      <alignment horizontal="right" vertical="center"/>
    </xf>
  </cellXfs>
  <cellStyles count="3">
    <cellStyle name="Comma" xfId="2" builtinId="3"/>
    <cellStyle name="Comma 2" xfId="1" xr:uid="{D2D7CE97-2256-43EF-94CD-95C3B6A7FB32}"/>
    <cellStyle name="Normal" xfId="0" builtinId="0"/>
  </cellStyles>
  <dxfs count="0"/>
  <tableStyles count="1" defaultTableStyle="TableStyleMedium2" defaultPivotStyle="PivotStyleLight16">
    <tableStyle name="Invisible" pivot="0" table="0" count="0" xr9:uid="{56699100-2524-4FD6-AC02-446C0457F6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D501-F4CF-4F88-88DE-2F74CF5EC874}">
  <dimension ref="A1:H18"/>
  <sheetViews>
    <sheetView view="pageBreakPreview" zoomScaleNormal="100" zoomScaleSheetLayoutView="100" workbookViewId="0">
      <selection activeCell="J5" sqref="J5"/>
    </sheetView>
  </sheetViews>
  <sheetFormatPr defaultColWidth="9.109375" defaultRowHeight="14.4" x14ac:dyDescent="0.3"/>
  <cols>
    <col min="1" max="1" width="11.44140625" style="1" customWidth="1"/>
    <col min="2" max="2" width="46.44140625" style="3" bestFit="1" customWidth="1"/>
    <col min="3" max="3" width="9.5546875" style="1" bestFit="1" customWidth="1"/>
    <col min="4" max="4" width="8" style="1" bestFit="1" customWidth="1"/>
    <col min="5" max="5" width="9.5546875" style="4" bestFit="1" customWidth="1"/>
    <col min="6" max="6" width="9.6640625" style="1" customWidth="1"/>
    <col min="7" max="7" width="8.6640625" style="1" bestFit="1" customWidth="1"/>
    <col min="8" max="8" width="8" style="1" bestFit="1" customWidth="1"/>
    <col min="9" max="9" width="9.109375" style="1"/>
    <col min="10" max="10" width="11.33203125" style="1" bestFit="1" customWidth="1"/>
    <col min="11" max="16384" width="9.109375" style="1"/>
  </cols>
  <sheetData>
    <row r="1" spans="1:8" x14ac:dyDescent="0.3">
      <c r="A1" s="2" t="s">
        <v>11</v>
      </c>
      <c r="B1" s="1"/>
    </row>
    <row r="2" spans="1:8" x14ac:dyDescent="0.3">
      <c r="A2" s="2" t="s">
        <v>14</v>
      </c>
      <c r="B2" s="1"/>
    </row>
    <row r="3" spans="1:8" x14ac:dyDescent="0.3">
      <c r="A3" s="2" t="s">
        <v>12</v>
      </c>
      <c r="B3" s="1"/>
    </row>
    <row r="4" spans="1:8" x14ac:dyDescent="0.3">
      <c r="A4" s="2" t="s">
        <v>13</v>
      </c>
      <c r="B4" s="1"/>
    </row>
    <row r="5" spans="1:8" x14ac:dyDescent="0.3">
      <c r="B5" s="1"/>
    </row>
    <row r="6" spans="1:8" s="11" customFormat="1" ht="28.8" x14ac:dyDescent="0.3">
      <c r="A6" s="9" t="s">
        <v>0</v>
      </c>
      <c r="B6" s="10" t="s">
        <v>1</v>
      </c>
      <c r="C6" s="10" t="s">
        <v>2</v>
      </c>
      <c r="D6" s="10" t="s">
        <v>3</v>
      </c>
      <c r="E6" s="13" t="s">
        <v>4</v>
      </c>
      <c r="F6" s="14" t="s">
        <v>18</v>
      </c>
      <c r="G6" s="10" t="s">
        <v>10</v>
      </c>
      <c r="H6" s="10" t="s">
        <v>6</v>
      </c>
    </row>
    <row r="7" spans="1:8" x14ac:dyDescent="0.3">
      <c r="A7" s="6">
        <v>44879</v>
      </c>
      <c r="B7" s="5" t="s">
        <v>15</v>
      </c>
      <c r="C7" s="16">
        <v>14147.95</v>
      </c>
      <c r="D7" s="16"/>
      <c r="E7" s="16">
        <f>+C7</f>
        <v>14147.95</v>
      </c>
      <c r="F7" s="17">
        <f>C7</f>
        <v>14147.95</v>
      </c>
      <c r="G7" s="16"/>
      <c r="H7" s="16"/>
    </row>
    <row r="8" spans="1:8" x14ac:dyDescent="0.3">
      <c r="A8" s="6">
        <v>44879</v>
      </c>
      <c r="B8" s="5" t="s">
        <v>17</v>
      </c>
      <c r="C8" s="16">
        <v>600000</v>
      </c>
      <c r="D8" s="16"/>
      <c r="E8" s="16">
        <f>E7+C8-D8</f>
        <v>614147.94999999995</v>
      </c>
      <c r="F8" s="17">
        <f>C8</f>
        <v>600000</v>
      </c>
      <c r="G8" s="16"/>
      <c r="H8" s="16"/>
    </row>
    <row r="9" spans="1:8" x14ac:dyDescent="0.3">
      <c r="A9" s="6">
        <v>44907</v>
      </c>
      <c r="B9" s="5" t="s">
        <v>16</v>
      </c>
      <c r="C9" s="16"/>
      <c r="D9" s="16">
        <v>10000</v>
      </c>
      <c r="E9" s="16">
        <f t="shared" ref="E9" si="0">E8+C9-D9</f>
        <v>604147.94999999995</v>
      </c>
      <c r="F9" s="17"/>
      <c r="G9" s="16">
        <f>-D9</f>
        <v>-10000</v>
      </c>
      <c r="H9" s="16"/>
    </row>
    <row r="10" spans="1:8" x14ac:dyDescent="0.3">
      <c r="A10" s="6">
        <v>44907</v>
      </c>
      <c r="B10" s="5" t="s">
        <v>6</v>
      </c>
      <c r="C10" s="16"/>
      <c r="D10" s="16">
        <v>105</v>
      </c>
      <c r="E10" s="16">
        <f>E9+C10-D10</f>
        <v>604042.94999999995</v>
      </c>
      <c r="F10" s="17"/>
      <c r="G10" s="16"/>
      <c r="H10" s="16">
        <f>-D10</f>
        <v>-105</v>
      </c>
    </row>
    <row r="11" spans="1:8" ht="15" thickBot="1" x14ac:dyDescent="0.35">
      <c r="A11" s="12"/>
      <c r="B11" s="20" t="s">
        <v>9</v>
      </c>
      <c r="C11" s="21">
        <f>SUM(C7:C10)</f>
        <v>614147.94999999995</v>
      </c>
      <c r="D11" s="21">
        <f>SUM(D7:D10)</f>
        <v>10105</v>
      </c>
      <c r="E11" s="21">
        <f>C11-D11</f>
        <v>604042.94999999995</v>
      </c>
      <c r="F11" s="22">
        <f>SUM(F7:F10)</f>
        <v>614147.94999999995</v>
      </c>
      <c r="G11" s="21">
        <f>SUM(G7:G10)</f>
        <v>-10000</v>
      </c>
      <c r="H11" s="21">
        <f>SUM(H7:H10)</f>
        <v>-105</v>
      </c>
    </row>
    <row r="12" spans="1:8" ht="15" thickTop="1" x14ac:dyDescent="0.3">
      <c r="C12" s="16"/>
      <c r="D12" s="16"/>
      <c r="E12" s="16"/>
      <c r="F12" s="16"/>
      <c r="G12" s="16"/>
      <c r="H12" s="16"/>
    </row>
    <row r="13" spans="1:8" x14ac:dyDescent="0.3">
      <c r="B13" s="11" t="s">
        <v>7</v>
      </c>
      <c r="C13" s="16"/>
      <c r="D13" s="16"/>
      <c r="E13" s="16"/>
      <c r="F13" s="16"/>
      <c r="G13" s="16"/>
      <c r="H13" s="16"/>
    </row>
    <row r="14" spans="1:8" x14ac:dyDescent="0.3">
      <c r="B14" s="3" t="str" cm="1">
        <f t="array" ref="B14:B16">TRANSPOSE(F6:H6)</f>
        <v>Rachit Gulati</v>
      </c>
      <c r="C14" s="16" cm="1">
        <f t="array" ref="C14:C16">TRANSPOSE(F11:H11)</f>
        <v>614147.94999999995</v>
      </c>
      <c r="D14" s="16"/>
      <c r="E14" s="16"/>
      <c r="F14" s="16"/>
      <c r="G14" s="16"/>
      <c r="H14" s="16"/>
    </row>
    <row r="15" spans="1:8" x14ac:dyDescent="0.3">
      <c r="B15" s="3" t="str">
        <v>Transfer</v>
      </c>
      <c r="C15" s="16">
        <v>-10000</v>
      </c>
      <c r="D15" s="16"/>
      <c r="E15" s="16"/>
      <c r="F15" s="16"/>
      <c r="G15" s="16"/>
      <c r="H15" s="16"/>
    </row>
    <row r="16" spans="1:8" x14ac:dyDescent="0.3">
      <c r="B16" s="3" t="str">
        <v>Bank Charges</v>
      </c>
      <c r="C16" s="16">
        <v>-105</v>
      </c>
      <c r="D16" s="16"/>
      <c r="E16" s="16"/>
      <c r="F16" s="16"/>
      <c r="G16" s="16"/>
      <c r="H16" s="16"/>
    </row>
    <row r="17" spans="2:8" x14ac:dyDescent="0.3">
      <c r="B17" s="15" t="s">
        <v>8</v>
      </c>
      <c r="C17" s="19">
        <f>SUM(_xlfn.ANCHORARRAY(C14))</f>
        <v>604042.94999999995</v>
      </c>
      <c r="D17" s="16"/>
      <c r="E17" s="16"/>
      <c r="F17" s="16"/>
      <c r="G17" s="16"/>
      <c r="H17" s="16"/>
    </row>
    <row r="18" spans="2:8" x14ac:dyDescent="0.3">
      <c r="C18" s="18"/>
      <c r="D18" s="18"/>
      <c r="E18" s="8"/>
      <c r="F18" s="18"/>
      <c r="G18" s="18"/>
      <c r="H18" s="18"/>
    </row>
  </sheetData>
  <printOptions horizontalCentered="1" verticalCentered="1" gridLines="1"/>
  <pageMargins left="0.70866141732283472" right="0.70866141732283472" top="0.48" bottom="0.53" header="0.31496062992125984" footer="0.31496062992125984"/>
  <pageSetup paperSize="9" scale="75" orientation="landscape" r:id="rId1"/>
  <headerFooter>
    <oddFooter>Page &amp;P of &amp;N</oddFooter>
  </headerFooter>
  <ignoredErrors>
    <ignoredError sqref="E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9142-FA3E-42B0-96B7-9D0CDFBF1B2E}">
  <dimension ref="A1:AB243"/>
  <sheetViews>
    <sheetView view="pageBreakPreview" zoomScale="70" zoomScaleNormal="100" zoomScaleSheetLayoutView="70" workbookViewId="0">
      <selection activeCell="J5" sqref="J5"/>
    </sheetView>
  </sheetViews>
  <sheetFormatPr defaultColWidth="9.109375" defaultRowHeight="14.4" x14ac:dyDescent="0.3"/>
  <cols>
    <col min="1" max="1" width="11.44140625" style="1" customWidth="1"/>
    <col min="2" max="2" width="18.44140625" style="1" hidden="1" customWidth="1"/>
    <col min="3" max="3" width="29.109375" style="1" hidden="1" customWidth="1"/>
    <col min="4" max="4" width="35.5546875" style="1" customWidth="1"/>
    <col min="5" max="5" width="16.5546875" style="1" bestFit="1" customWidth="1"/>
    <col min="6" max="6" width="13.33203125" style="1" bestFit="1" customWidth="1"/>
    <col min="7" max="7" width="12.109375" style="4" bestFit="1" customWidth="1"/>
    <col min="8" max="8" width="4.5546875" style="4" hidden="1" customWidth="1"/>
    <col min="9" max="9" width="29.88671875" style="4" customWidth="1"/>
    <col min="10" max="10" width="9.5546875" style="4" bestFit="1" customWidth="1"/>
    <col min="11" max="11" width="12.109375" style="4" customWidth="1"/>
    <col min="12" max="12" width="11.33203125" style="4" bestFit="1" customWidth="1"/>
    <col min="13" max="13" width="12.88671875" style="4" bestFit="1" customWidth="1"/>
    <col min="14" max="14" width="9.5546875" style="4" bestFit="1" customWidth="1"/>
    <col min="15" max="15" width="11.33203125" style="4" bestFit="1" customWidth="1"/>
    <col min="16" max="16" width="14" style="4" bestFit="1" customWidth="1"/>
    <col min="17" max="17" width="14" style="4" customWidth="1"/>
    <col min="18" max="18" width="11.44140625" style="4" bestFit="1" customWidth="1"/>
    <col min="19" max="19" width="8" style="4" bestFit="1" customWidth="1"/>
    <col min="20" max="20" width="11.44140625" style="4" bestFit="1" customWidth="1"/>
    <col min="21" max="21" width="12.88671875" style="4" bestFit="1" customWidth="1"/>
    <col min="22" max="22" width="12.109375" style="4" customWidth="1"/>
    <col min="23" max="23" width="13.33203125" style="4" bestFit="1" customWidth="1"/>
    <col min="24" max="24" width="7" style="4" bestFit="1" customWidth="1"/>
    <col min="25" max="25" width="12.109375" style="4" customWidth="1"/>
    <col min="26" max="26" width="8" style="4" bestFit="1" customWidth="1"/>
    <col min="27" max="27" width="9.5546875" style="4" bestFit="1" customWidth="1"/>
    <col min="28" max="28" width="9.109375" style="1"/>
    <col min="29" max="29" width="11.33203125" style="1" bestFit="1" customWidth="1"/>
    <col min="30" max="16384" width="9.109375" style="1"/>
  </cols>
  <sheetData>
    <row r="1" spans="1:27" x14ac:dyDescent="0.3">
      <c r="A1" s="2" t="s">
        <v>11</v>
      </c>
      <c r="B1" s="2"/>
      <c r="C1" s="2"/>
    </row>
    <row r="2" spans="1:27" x14ac:dyDescent="0.3">
      <c r="A2" s="2" t="s">
        <v>14</v>
      </c>
      <c r="B2" s="2"/>
      <c r="C2" s="2"/>
    </row>
    <row r="3" spans="1:27" x14ac:dyDescent="0.3">
      <c r="A3" s="2" t="s">
        <v>12</v>
      </c>
      <c r="B3" s="2"/>
      <c r="C3" s="2"/>
    </row>
    <row r="4" spans="1:27" x14ac:dyDescent="0.3">
      <c r="A4" s="2" t="s">
        <v>19</v>
      </c>
      <c r="B4" s="2"/>
      <c r="C4" s="2"/>
    </row>
    <row r="6" spans="1:27" s="11" customFormat="1" ht="43.2" x14ac:dyDescent="0.3">
      <c r="A6" s="9" t="s">
        <v>0</v>
      </c>
      <c r="B6" s="10" t="s">
        <v>20</v>
      </c>
      <c r="C6" s="10" t="s">
        <v>21</v>
      </c>
      <c r="D6" s="10" t="s">
        <v>1</v>
      </c>
      <c r="E6" s="10" t="s">
        <v>2</v>
      </c>
      <c r="F6" s="10" t="s">
        <v>3</v>
      </c>
      <c r="G6" s="31" t="s">
        <v>4</v>
      </c>
      <c r="H6" s="13"/>
      <c r="I6" s="13" t="s">
        <v>392</v>
      </c>
      <c r="J6" s="13" t="s">
        <v>247</v>
      </c>
      <c r="K6" s="13" t="s">
        <v>390</v>
      </c>
      <c r="L6" s="13" t="s">
        <v>391</v>
      </c>
      <c r="M6" s="13" t="s">
        <v>386</v>
      </c>
      <c r="N6" s="13" t="s">
        <v>387</v>
      </c>
      <c r="O6" s="26" t="s">
        <v>10</v>
      </c>
      <c r="P6" s="13" t="s">
        <v>388</v>
      </c>
      <c r="Q6" s="26" t="s">
        <v>406</v>
      </c>
      <c r="R6" s="13" t="s">
        <v>101</v>
      </c>
      <c r="S6" s="13" t="s">
        <v>6</v>
      </c>
      <c r="T6" s="13" t="s">
        <v>389</v>
      </c>
      <c r="U6" s="13" t="s">
        <v>260</v>
      </c>
      <c r="V6" s="13" t="s">
        <v>397</v>
      </c>
      <c r="W6" s="13" t="s">
        <v>398</v>
      </c>
      <c r="X6" s="13" t="s">
        <v>399</v>
      </c>
      <c r="Y6" s="13" t="s">
        <v>401</v>
      </c>
      <c r="Z6" s="13" t="s">
        <v>404</v>
      </c>
      <c r="AA6" s="26" t="s">
        <v>405</v>
      </c>
    </row>
    <row r="7" spans="1:27" s="11" customFormat="1" x14ac:dyDescent="0.3">
      <c r="A7" s="23">
        <v>44927</v>
      </c>
      <c r="B7" s="24"/>
      <c r="C7" s="24"/>
      <c r="D7" s="7" t="s">
        <v>5</v>
      </c>
      <c r="E7" s="25">
        <v>604042.94999999995</v>
      </c>
      <c r="F7" s="25"/>
      <c r="G7" s="32">
        <f>E7</f>
        <v>604042.94999999995</v>
      </c>
      <c r="H7" s="25">
        <f t="shared" ref="H7:H70" si="0">E7-F7-SUM(J7:AI7)</f>
        <v>0</v>
      </c>
      <c r="I7" s="25"/>
      <c r="J7" s="25">
        <f>E7</f>
        <v>604042.94999999995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28.8" x14ac:dyDescent="0.3">
      <c r="A8" s="23">
        <v>44951</v>
      </c>
      <c r="B8" s="23">
        <v>500025</v>
      </c>
      <c r="C8" s="23">
        <v>500025</v>
      </c>
      <c r="D8" s="7" t="s">
        <v>248</v>
      </c>
      <c r="E8" s="16">
        <v>21000000</v>
      </c>
      <c r="F8" s="16"/>
      <c r="G8" s="33">
        <f>G7+E8-F8</f>
        <v>21604042.949999999</v>
      </c>
      <c r="H8" s="25">
        <f t="shared" si="0"/>
        <v>0</v>
      </c>
      <c r="I8" s="2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f>E8</f>
        <v>21000000</v>
      </c>
      <c r="X8" s="16"/>
      <c r="Y8" s="16"/>
      <c r="Z8" s="16"/>
      <c r="AA8" s="16"/>
    </row>
    <row r="9" spans="1:27" ht="28.8" x14ac:dyDescent="0.3">
      <c r="A9" s="23">
        <v>44952</v>
      </c>
      <c r="B9" s="23" t="s">
        <v>22</v>
      </c>
      <c r="C9" s="23" t="s">
        <v>23</v>
      </c>
      <c r="D9" s="7" t="s">
        <v>249</v>
      </c>
      <c r="E9" s="16"/>
      <c r="F9" s="16">
        <v>105</v>
      </c>
      <c r="G9" s="33">
        <f t="shared" ref="G9:G72" si="1">G8+E9-F9</f>
        <v>21603937.949999999</v>
      </c>
      <c r="H9" s="25">
        <f t="shared" si="0"/>
        <v>0</v>
      </c>
      <c r="I9" s="25"/>
      <c r="J9" s="16"/>
      <c r="K9" s="16"/>
      <c r="L9" s="16"/>
      <c r="M9" s="16"/>
      <c r="N9" s="16"/>
      <c r="O9" s="16"/>
      <c r="P9" s="16"/>
      <c r="Q9" s="16"/>
      <c r="R9" s="16"/>
      <c r="S9" s="16">
        <f>-F9</f>
        <v>-105</v>
      </c>
      <c r="T9" s="16"/>
      <c r="U9" s="16"/>
      <c r="V9" s="16"/>
      <c r="W9" s="16"/>
      <c r="X9" s="16"/>
      <c r="Y9" s="16"/>
      <c r="Z9" s="16"/>
      <c r="AA9" s="16"/>
    </row>
    <row r="10" spans="1:27" ht="28.8" x14ac:dyDescent="0.3">
      <c r="A10" s="23">
        <v>44952</v>
      </c>
      <c r="B10" s="23">
        <v>776991</v>
      </c>
      <c r="C10" s="23" t="s">
        <v>23</v>
      </c>
      <c r="D10" s="7" t="s">
        <v>250</v>
      </c>
      <c r="E10" s="16"/>
      <c r="F10" s="16">
        <v>15607142.779999999</v>
      </c>
      <c r="G10" s="33">
        <f t="shared" si="1"/>
        <v>5996795.1699999999</v>
      </c>
      <c r="H10" s="25">
        <f t="shared" si="0"/>
        <v>0</v>
      </c>
      <c r="I10" s="25"/>
      <c r="J10" s="16"/>
      <c r="K10" s="16"/>
      <c r="L10" s="16"/>
      <c r="M10" s="16"/>
      <c r="N10" s="16"/>
      <c r="O10" s="16"/>
      <c r="P10" s="16"/>
      <c r="Q10" s="16">
        <f>-F10</f>
        <v>-15607142.779999999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3">
      <c r="A11" s="23">
        <v>44952</v>
      </c>
      <c r="B11" s="23">
        <v>776991</v>
      </c>
      <c r="C11" s="23" t="s">
        <v>23</v>
      </c>
      <c r="D11" s="7" t="s">
        <v>251</v>
      </c>
      <c r="E11" s="16"/>
      <c r="F11" s="16">
        <v>26.25</v>
      </c>
      <c r="G11" s="33">
        <f t="shared" si="1"/>
        <v>5996768.9199999999</v>
      </c>
      <c r="H11" s="25">
        <f t="shared" si="0"/>
        <v>0</v>
      </c>
      <c r="I11" s="25"/>
      <c r="J11" s="16"/>
      <c r="K11" s="16"/>
      <c r="L11" s="16"/>
      <c r="M11" s="16"/>
      <c r="N11" s="16"/>
      <c r="O11" s="16"/>
      <c r="P11" s="16"/>
      <c r="Q11" s="16"/>
      <c r="R11" s="16"/>
      <c r="S11" s="16">
        <f>-F11</f>
        <v>-26.25</v>
      </c>
      <c r="T11" s="16"/>
      <c r="U11" s="16"/>
      <c r="V11" s="16"/>
      <c r="W11" s="16"/>
      <c r="X11" s="16"/>
      <c r="Y11" s="16"/>
      <c r="Z11" s="16"/>
      <c r="AA11" s="16"/>
    </row>
    <row r="12" spans="1:27" ht="28.8" x14ac:dyDescent="0.3">
      <c r="A12" s="23">
        <v>44952</v>
      </c>
      <c r="B12" s="23">
        <v>776992</v>
      </c>
      <c r="C12" s="23" t="s">
        <v>23</v>
      </c>
      <c r="D12" s="7" t="s">
        <v>252</v>
      </c>
      <c r="E12" s="16"/>
      <c r="F12" s="16">
        <v>399000</v>
      </c>
      <c r="G12" s="33">
        <f t="shared" si="1"/>
        <v>5597768.9199999999</v>
      </c>
      <c r="H12" s="25">
        <f t="shared" si="0"/>
        <v>0</v>
      </c>
      <c r="I12" s="25"/>
      <c r="J12" s="16"/>
      <c r="K12" s="16"/>
      <c r="L12" s="16"/>
      <c r="M12" s="16"/>
      <c r="N12" s="16"/>
      <c r="O12" s="16"/>
      <c r="P12" s="16"/>
      <c r="Q12" s="16">
        <f>-F12</f>
        <v>-399000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3">
      <c r="A13" s="23">
        <v>44952</v>
      </c>
      <c r="B13" s="23">
        <v>776992</v>
      </c>
      <c r="C13" s="23" t="s">
        <v>23</v>
      </c>
      <c r="D13" s="7" t="s">
        <v>251</v>
      </c>
      <c r="E13" s="16"/>
      <c r="F13" s="16">
        <v>26.25</v>
      </c>
      <c r="G13" s="33">
        <f t="shared" si="1"/>
        <v>5597742.6699999999</v>
      </c>
      <c r="H13" s="25">
        <f t="shared" si="0"/>
        <v>0</v>
      </c>
      <c r="I13" s="25"/>
      <c r="J13" s="16"/>
      <c r="K13" s="16"/>
      <c r="L13" s="16"/>
      <c r="M13" s="16"/>
      <c r="N13" s="16"/>
      <c r="O13" s="16"/>
      <c r="P13" s="16"/>
      <c r="Q13" s="16"/>
      <c r="R13" s="16"/>
      <c r="S13" s="16">
        <f>-F13</f>
        <v>-26.25</v>
      </c>
      <c r="T13" s="16"/>
      <c r="U13" s="16"/>
      <c r="V13" s="16"/>
      <c r="W13" s="16"/>
      <c r="X13" s="16"/>
      <c r="Y13" s="16"/>
      <c r="Z13" s="16"/>
      <c r="AA13" s="16"/>
    </row>
    <row r="14" spans="1:27" ht="28.8" x14ac:dyDescent="0.3">
      <c r="A14" s="23">
        <v>44952</v>
      </c>
      <c r="B14" s="23">
        <v>776993</v>
      </c>
      <c r="C14" s="23" t="s">
        <v>23</v>
      </c>
      <c r="D14" s="7" t="s">
        <v>253</v>
      </c>
      <c r="E14" s="16"/>
      <c r="F14" s="16">
        <v>3392857.22</v>
      </c>
      <c r="G14" s="33">
        <f t="shared" si="1"/>
        <v>2204885.4499999997</v>
      </c>
      <c r="H14" s="25">
        <f t="shared" si="0"/>
        <v>0</v>
      </c>
      <c r="I14" s="25"/>
      <c r="J14" s="16"/>
      <c r="K14" s="16"/>
      <c r="L14" s="16"/>
      <c r="M14" s="16"/>
      <c r="N14" s="16"/>
      <c r="O14" s="16"/>
      <c r="P14" s="16"/>
      <c r="Q14" s="16">
        <f>-F14</f>
        <v>-3392857.22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3">
      <c r="A15" s="23">
        <v>44952</v>
      </c>
      <c r="B15" s="23">
        <v>776993</v>
      </c>
      <c r="C15" s="23" t="s">
        <v>23</v>
      </c>
      <c r="D15" s="7" t="s">
        <v>251</v>
      </c>
      <c r="E15" s="16"/>
      <c r="F15" s="16">
        <v>26.25</v>
      </c>
      <c r="G15" s="33">
        <f t="shared" si="1"/>
        <v>2204859.1999999997</v>
      </c>
      <c r="H15" s="25">
        <f t="shared" si="0"/>
        <v>0</v>
      </c>
      <c r="I15" s="25"/>
      <c r="J15" s="16"/>
      <c r="K15" s="16"/>
      <c r="L15" s="16"/>
      <c r="M15" s="16"/>
      <c r="N15" s="16"/>
      <c r="O15" s="16"/>
      <c r="P15" s="16"/>
      <c r="Q15" s="16"/>
      <c r="R15" s="16"/>
      <c r="S15" s="16">
        <f>-F15</f>
        <v>-26.25</v>
      </c>
      <c r="T15" s="16"/>
      <c r="U15" s="16"/>
      <c r="V15" s="16"/>
      <c r="W15" s="16"/>
      <c r="X15" s="16"/>
      <c r="Y15" s="16"/>
      <c r="Z15" s="16"/>
      <c r="AA15" s="16"/>
    </row>
    <row r="16" spans="1:27" ht="28.8" x14ac:dyDescent="0.3">
      <c r="A16" s="23">
        <v>44952</v>
      </c>
      <c r="B16" s="23">
        <v>776994</v>
      </c>
      <c r="C16" s="23" t="s">
        <v>23</v>
      </c>
      <c r="D16" s="7" t="s">
        <v>254</v>
      </c>
      <c r="E16" s="16"/>
      <c r="F16" s="16">
        <v>760580</v>
      </c>
      <c r="G16" s="33">
        <f t="shared" si="1"/>
        <v>1444279.1999999997</v>
      </c>
      <c r="H16" s="25">
        <f t="shared" si="0"/>
        <v>0</v>
      </c>
      <c r="I16" s="25"/>
      <c r="J16" s="16"/>
      <c r="K16" s="16"/>
      <c r="L16" s="16"/>
      <c r="M16" s="16"/>
      <c r="N16" s="16"/>
      <c r="O16" s="16"/>
      <c r="P16" s="16"/>
      <c r="Q16" s="16">
        <f>-F16</f>
        <v>-760580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3">
      <c r="A17" s="23">
        <v>44952</v>
      </c>
      <c r="B17" s="23">
        <v>776994</v>
      </c>
      <c r="C17" s="23" t="s">
        <v>23</v>
      </c>
      <c r="D17" s="7" t="s">
        <v>251</v>
      </c>
      <c r="E17" s="16"/>
      <c r="F17" s="16">
        <v>26.25</v>
      </c>
      <c r="G17" s="33">
        <f t="shared" si="1"/>
        <v>1444252.9499999997</v>
      </c>
      <c r="H17" s="25">
        <f t="shared" si="0"/>
        <v>0</v>
      </c>
      <c r="I17" s="25"/>
      <c r="J17" s="16"/>
      <c r="K17" s="16"/>
      <c r="L17" s="16"/>
      <c r="M17" s="16"/>
      <c r="N17" s="16"/>
      <c r="O17" s="16"/>
      <c r="P17" s="16"/>
      <c r="Q17" s="16"/>
      <c r="R17" s="16"/>
      <c r="S17" s="16">
        <f>-F17</f>
        <v>-26.25</v>
      </c>
      <c r="T17" s="16"/>
      <c r="U17" s="16"/>
      <c r="V17" s="16"/>
      <c r="W17" s="16"/>
      <c r="X17" s="16"/>
      <c r="Y17" s="16"/>
      <c r="Z17" s="16"/>
      <c r="AA17" s="16"/>
    </row>
    <row r="18" spans="1:27" x14ac:dyDescent="0.3">
      <c r="A18" s="23">
        <v>44958</v>
      </c>
      <c r="B18" s="23" t="s">
        <v>24</v>
      </c>
      <c r="C18" s="23" t="s">
        <v>25</v>
      </c>
      <c r="D18" s="7" t="s">
        <v>255</v>
      </c>
      <c r="E18" s="16"/>
      <c r="F18" s="16">
        <v>3479.04</v>
      </c>
      <c r="G18" s="33">
        <f t="shared" si="1"/>
        <v>1440773.9099999997</v>
      </c>
      <c r="H18" s="25">
        <f t="shared" si="0"/>
        <v>0</v>
      </c>
      <c r="I18" s="25"/>
      <c r="J18" s="16"/>
      <c r="K18" s="16"/>
      <c r="L18" s="16"/>
      <c r="M18" s="16">
        <f>-F18</f>
        <v>-3479.04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28.8" x14ac:dyDescent="0.3">
      <c r="A19" s="23">
        <v>44963</v>
      </c>
      <c r="B19" s="23" t="s">
        <v>26</v>
      </c>
      <c r="C19" s="23" t="s">
        <v>27</v>
      </c>
      <c r="D19" s="7" t="s">
        <v>256</v>
      </c>
      <c r="E19" s="16"/>
      <c r="F19" s="16">
        <v>10000</v>
      </c>
      <c r="G19" s="33">
        <f t="shared" si="1"/>
        <v>1430773.9099999997</v>
      </c>
      <c r="H19" s="25">
        <f t="shared" si="0"/>
        <v>0</v>
      </c>
      <c r="I19" s="25"/>
      <c r="J19" s="16"/>
      <c r="K19" s="16"/>
      <c r="L19" s="16"/>
      <c r="M19" s="16"/>
      <c r="N19" s="16"/>
      <c r="O19" s="16">
        <f>-F19</f>
        <v>-10000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28.8" x14ac:dyDescent="0.3">
      <c r="A20" s="23">
        <v>44966</v>
      </c>
      <c r="B20" s="23" t="s">
        <v>28</v>
      </c>
      <c r="C20" s="23" t="s">
        <v>29</v>
      </c>
      <c r="D20" s="7" t="s">
        <v>256</v>
      </c>
      <c r="E20" s="16"/>
      <c r="F20" s="16">
        <v>40000</v>
      </c>
      <c r="G20" s="33">
        <f t="shared" si="1"/>
        <v>1390773.9099999997</v>
      </c>
      <c r="H20" s="25">
        <f t="shared" si="0"/>
        <v>0</v>
      </c>
      <c r="I20" s="25"/>
      <c r="J20" s="16"/>
      <c r="K20" s="16"/>
      <c r="L20" s="16"/>
      <c r="M20" s="16"/>
      <c r="N20" s="16"/>
      <c r="O20" s="16">
        <f>-F20</f>
        <v>-40000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3">
      <c r="A21" s="23">
        <v>44970</v>
      </c>
      <c r="B21" s="23" t="s">
        <v>30</v>
      </c>
      <c r="C21" s="23" t="s">
        <v>31</v>
      </c>
      <c r="D21" s="7" t="s">
        <v>257</v>
      </c>
      <c r="E21" s="16"/>
      <c r="F21" s="16">
        <v>1050</v>
      </c>
      <c r="G21" s="33">
        <f t="shared" si="1"/>
        <v>1389723.9099999997</v>
      </c>
      <c r="H21" s="25">
        <f t="shared" si="0"/>
        <v>0</v>
      </c>
      <c r="I21" s="25"/>
      <c r="J21" s="16"/>
      <c r="K21" s="16"/>
      <c r="L21" s="16"/>
      <c r="M21" s="16">
        <f t="shared" ref="M21:M22" si="2">-F21</f>
        <v>-1050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3">
      <c r="A22" s="23">
        <v>44971</v>
      </c>
      <c r="B22" s="23" t="s">
        <v>32</v>
      </c>
      <c r="C22" s="23" t="s">
        <v>33</v>
      </c>
      <c r="D22" s="7" t="s">
        <v>258</v>
      </c>
      <c r="E22" s="16"/>
      <c r="F22" s="16">
        <v>263917.5</v>
      </c>
      <c r="G22" s="33">
        <f t="shared" si="1"/>
        <v>1125806.4099999997</v>
      </c>
      <c r="H22" s="25">
        <f t="shared" si="0"/>
        <v>0</v>
      </c>
      <c r="I22" s="25"/>
      <c r="J22" s="16"/>
      <c r="K22" s="16"/>
      <c r="L22" s="16"/>
      <c r="M22" s="16">
        <f t="shared" si="2"/>
        <v>-263917.5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28.8" x14ac:dyDescent="0.3">
      <c r="A23" s="23">
        <v>44981</v>
      </c>
      <c r="B23" s="23" t="s">
        <v>34</v>
      </c>
      <c r="C23" s="23" t="s">
        <v>23</v>
      </c>
      <c r="D23" s="7" t="s">
        <v>259</v>
      </c>
      <c r="E23" s="16">
        <v>3000000</v>
      </c>
      <c r="F23" s="16"/>
      <c r="G23" s="33">
        <f t="shared" si="1"/>
        <v>4125806.4099999997</v>
      </c>
      <c r="H23" s="25">
        <f t="shared" si="0"/>
        <v>0</v>
      </c>
      <c r="I23" s="38" t="s">
        <v>403</v>
      </c>
      <c r="J23" s="16"/>
      <c r="K23" s="16">
        <f>E23</f>
        <v>3000000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28.8" x14ac:dyDescent="0.3">
      <c r="A24" s="23">
        <v>44983</v>
      </c>
      <c r="B24" s="23" t="s">
        <v>35</v>
      </c>
      <c r="C24" s="23" t="s">
        <v>23</v>
      </c>
      <c r="D24" s="7" t="s">
        <v>249</v>
      </c>
      <c r="E24" s="16"/>
      <c r="F24" s="16">
        <v>105</v>
      </c>
      <c r="G24" s="33">
        <f t="shared" si="1"/>
        <v>4125701.4099999997</v>
      </c>
      <c r="H24" s="25">
        <f t="shared" si="0"/>
        <v>0</v>
      </c>
      <c r="I24" s="25"/>
      <c r="J24" s="16"/>
      <c r="K24" s="16"/>
      <c r="L24" s="16"/>
      <c r="M24" s="16"/>
      <c r="N24" s="16"/>
      <c r="O24" s="16"/>
      <c r="P24" s="16"/>
      <c r="Q24" s="16"/>
      <c r="R24" s="16"/>
      <c r="S24" s="16">
        <f>-F24</f>
        <v>-105</v>
      </c>
      <c r="T24" s="16"/>
      <c r="U24" s="16"/>
      <c r="V24" s="16"/>
      <c r="W24" s="16"/>
      <c r="X24" s="16"/>
      <c r="Y24" s="16"/>
      <c r="Z24" s="16"/>
      <c r="AA24" s="16"/>
    </row>
    <row r="25" spans="1:27" x14ac:dyDescent="0.3">
      <c r="A25" s="23">
        <v>44986</v>
      </c>
      <c r="B25" s="23">
        <v>1</v>
      </c>
      <c r="C25" s="23" t="s">
        <v>23</v>
      </c>
      <c r="D25" s="7" t="s">
        <v>260</v>
      </c>
      <c r="E25" s="16"/>
      <c r="F25" s="16">
        <v>750000</v>
      </c>
      <c r="G25" s="33">
        <f t="shared" si="1"/>
        <v>3375701.4099999997</v>
      </c>
      <c r="H25" s="25">
        <f t="shared" si="0"/>
        <v>0</v>
      </c>
      <c r="I25" s="2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f>-F25</f>
        <v>-750000</v>
      </c>
      <c r="V25" s="16"/>
      <c r="W25" s="16"/>
      <c r="X25" s="16"/>
      <c r="Y25" s="16"/>
      <c r="Z25" s="16"/>
      <c r="AA25" s="16"/>
    </row>
    <row r="26" spans="1:27" x14ac:dyDescent="0.3">
      <c r="A26" s="23">
        <v>44987</v>
      </c>
      <c r="B26" s="23" t="s">
        <v>36</v>
      </c>
      <c r="C26" s="23" t="s">
        <v>37</v>
      </c>
      <c r="D26" s="7" t="s">
        <v>261</v>
      </c>
      <c r="E26" s="16"/>
      <c r="F26" s="16">
        <v>70299.03</v>
      </c>
      <c r="G26" s="33">
        <f t="shared" si="1"/>
        <v>3305402.38</v>
      </c>
      <c r="H26" s="25">
        <f t="shared" si="0"/>
        <v>0</v>
      </c>
      <c r="I26" s="25"/>
      <c r="J26" s="16"/>
      <c r="K26" s="16"/>
      <c r="L26" s="16"/>
      <c r="M26" s="16">
        <f t="shared" ref="M26:M27" si="3">-F26</f>
        <v>-70299.03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3">
      <c r="A27" s="23">
        <v>45001</v>
      </c>
      <c r="B27" s="23" t="s">
        <v>38</v>
      </c>
      <c r="C27" s="23" t="s">
        <v>39</v>
      </c>
      <c r="D27" s="7" t="s">
        <v>262</v>
      </c>
      <c r="E27" s="16"/>
      <c r="F27" s="16">
        <v>13533.15</v>
      </c>
      <c r="G27" s="33">
        <f t="shared" si="1"/>
        <v>3291869.23</v>
      </c>
      <c r="H27" s="25">
        <f t="shared" si="0"/>
        <v>0</v>
      </c>
      <c r="I27" s="25"/>
      <c r="J27" s="16"/>
      <c r="K27" s="16"/>
      <c r="L27" s="16"/>
      <c r="M27" s="16">
        <f t="shared" si="3"/>
        <v>-13533.15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8.8" x14ac:dyDescent="0.3">
      <c r="A28" s="23">
        <v>45011</v>
      </c>
      <c r="B28" s="23" t="s">
        <v>40</v>
      </c>
      <c r="C28" s="23" t="s">
        <v>23</v>
      </c>
      <c r="D28" s="7" t="s">
        <v>249</v>
      </c>
      <c r="E28" s="16"/>
      <c r="F28" s="16">
        <v>105</v>
      </c>
      <c r="G28" s="33">
        <f t="shared" si="1"/>
        <v>3291764.23</v>
      </c>
      <c r="H28" s="25">
        <f t="shared" si="0"/>
        <v>0</v>
      </c>
      <c r="I28" s="25"/>
      <c r="J28" s="16"/>
      <c r="K28" s="16"/>
      <c r="L28" s="16"/>
      <c r="M28" s="16"/>
      <c r="N28" s="16"/>
      <c r="O28" s="16"/>
      <c r="P28" s="16"/>
      <c r="Q28" s="16"/>
      <c r="R28" s="16"/>
      <c r="S28" s="16">
        <f>-F28</f>
        <v>-105</v>
      </c>
      <c r="T28" s="16"/>
      <c r="U28" s="16"/>
      <c r="V28" s="16"/>
      <c r="W28" s="16"/>
      <c r="X28" s="16"/>
      <c r="Y28" s="16"/>
      <c r="Z28" s="16"/>
      <c r="AA28" s="16"/>
    </row>
    <row r="29" spans="1:27" x14ac:dyDescent="0.3">
      <c r="A29" s="23">
        <v>45015</v>
      </c>
      <c r="B29" s="23" t="s">
        <v>41</v>
      </c>
      <c r="C29" s="23" t="s">
        <v>42</v>
      </c>
      <c r="D29" s="7" t="s">
        <v>263</v>
      </c>
      <c r="E29" s="16"/>
      <c r="F29" s="16">
        <v>3000000</v>
      </c>
      <c r="G29" s="33">
        <f t="shared" si="1"/>
        <v>291764.23</v>
      </c>
      <c r="H29" s="25">
        <f t="shared" si="0"/>
        <v>0</v>
      </c>
      <c r="I29" s="25"/>
      <c r="J29" s="16"/>
      <c r="K29" s="16"/>
      <c r="L29" s="16"/>
      <c r="M29" s="16">
        <f t="shared" ref="M29:M30" si="4">-F29</f>
        <v>-3000000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x14ac:dyDescent="0.3">
      <c r="A30" s="23">
        <v>45015</v>
      </c>
      <c r="B30" s="23" t="s">
        <v>43</v>
      </c>
      <c r="C30" s="23" t="s">
        <v>44</v>
      </c>
      <c r="D30" s="7" t="s">
        <v>264</v>
      </c>
      <c r="E30" s="16"/>
      <c r="F30" s="16">
        <v>4000</v>
      </c>
      <c r="G30" s="33">
        <f t="shared" si="1"/>
        <v>287764.23</v>
      </c>
      <c r="H30" s="25">
        <f t="shared" si="0"/>
        <v>0</v>
      </c>
      <c r="I30" s="25"/>
      <c r="J30" s="16"/>
      <c r="K30" s="16"/>
      <c r="L30" s="16"/>
      <c r="M30" s="16">
        <f t="shared" si="4"/>
        <v>-4000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28.8" x14ac:dyDescent="0.3">
      <c r="A31" s="23">
        <v>45016</v>
      </c>
      <c r="B31" s="23">
        <v>896566</v>
      </c>
      <c r="C31" s="23">
        <v>896566</v>
      </c>
      <c r="D31" s="7" t="s">
        <v>265</v>
      </c>
      <c r="E31" s="16">
        <v>14500000</v>
      </c>
      <c r="F31" s="16"/>
      <c r="G31" s="33">
        <f t="shared" si="1"/>
        <v>14787764.23</v>
      </c>
      <c r="H31" s="25">
        <f t="shared" si="0"/>
        <v>0</v>
      </c>
      <c r="I31" s="2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>
        <f>E31</f>
        <v>14500000</v>
      </c>
      <c r="X31" s="16"/>
      <c r="Y31" s="16"/>
      <c r="Z31" s="16"/>
      <c r="AA31" s="16"/>
    </row>
    <row r="32" spans="1:27" x14ac:dyDescent="0.3">
      <c r="A32" s="23">
        <v>45019</v>
      </c>
      <c r="B32" s="23" t="s">
        <v>45</v>
      </c>
      <c r="C32" s="23" t="s">
        <v>46</v>
      </c>
      <c r="D32" s="7" t="s">
        <v>266</v>
      </c>
      <c r="E32" s="16"/>
      <c r="F32" s="16">
        <v>2875000</v>
      </c>
      <c r="G32" s="33">
        <f t="shared" si="1"/>
        <v>11912764.23</v>
      </c>
      <c r="H32" s="25">
        <f t="shared" si="0"/>
        <v>0</v>
      </c>
      <c r="I32" s="25"/>
      <c r="J32" s="16"/>
      <c r="K32" s="16"/>
      <c r="L32" s="16"/>
      <c r="M32" s="16">
        <f>-F32</f>
        <v>-2875000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8" ht="28.8" x14ac:dyDescent="0.3">
      <c r="A33" s="23">
        <v>45023</v>
      </c>
      <c r="B33" s="23" t="s">
        <v>47</v>
      </c>
      <c r="C33" s="23" t="s">
        <v>23</v>
      </c>
      <c r="D33" s="7" t="s">
        <v>267</v>
      </c>
      <c r="E33" s="16"/>
      <c r="F33" s="16">
        <v>11000000</v>
      </c>
      <c r="G33" s="33">
        <f t="shared" si="1"/>
        <v>912764.23000000045</v>
      </c>
      <c r="H33" s="25">
        <f t="shared" si="0"/>
        <v>0</v>
      </c>
      <c r="I33" s="25"/>
      <c r="J33" s="16"/>
      <c r="K33" s="16"/>
      <c r="L33" s="16"/>
      <c r="M33" s="16"/>
      <c r="N33" s="16"/>
      <c r="O33" s="16"/>
      <c r="P33" s="16">
        <f>-F33</f>
        <v>-11000000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8" ht="28.8" x14ac:dyDescent="0.3">
      <c r="A34" s="23">
        <v>45042</v>
      </c>
      <c r="B34" s="23" t="s">
        <v>48</v>
      </c>
      <c r="C34" s="23" t="s">
        <v>23</v>
      </c>
      <c r="D34" s="7" t="s">
        <v>249</v>
      </c>
      <c r="E34" s="16"/>
      <c r="F34" s="16">
        <v>105</v>
      </c>
      <c r="G34" s="33">
        <f t="shared" si="1"/>
        <v>912659.23000000045</v>
      </c>
      <c r="H34" s="25">
        <f t="shared" si="0"/>
        <v>0</v>
      </c>
      <c r="I34" s="25"/>
      <c r="J34" s="16"/>
      <c r="K34" s="16"/>
      <c r="L34" s="16"/>
      <c r="M34" s="16"/>
      <c r="N34" s="16"/>
      <c r="O34" s="16"/>
      <c r="P34" s="16"/>
      <c r="Q34" s="16"/>
      <c r="R34" s="16"/>
      <c r="S34" s="16">
        <f>-F34</f>
        <v>-105</v>
      </c>
      <c r="T34" s="16"/>
      <c r="U34" s="16"/>
      <c r="V34" s="16"/>
      <c r="W34" s="16"/>
      <c r="X34" s="16"/>
      <c r="Y34" s="16"/>
      <c r="Z34" s="16"/>
      <c r="AA34" s="16"/>
    </row>
    <row r="35" spans="1:28" ht="28.8" x14ac:dyDescent="0.3">
      <c r="A35" s="23">
        <v>45053</v>
      </c>
      <c r="B35" s="23" t="s">
        <v>49</v>
      </c>
      <c r="C35" s="23" t="s">
        <v>23</v>
      </c>
      <c r="D35" s="7" t="s">
        <v>268</v>
      </c>
      <c r="E35" s="16">
        <v>40975</v>
      </c>
      <c r="F35" s="16"/>
      <c r="G35" s="33">
        <f t="shared" si="1"/>
        <v>953634.23000000045</v>
      </c>
      <c r="H35" s="25">
        <f t="shared" si="0"/>
        <v>0</v>
      </c>
      <c r="I35" s="25"/>
      <c r="J35" s="16"/>
      <c r="K35" s="16"/>
      <c r="L35" s="16"/>
      <c r="M35" s="16"/>
      <c r="N35" s="16">
        <f>E35</f>
        <v>40975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8" ht="28.8" x14ac:dyDescent="0.3">
      <c r="A36" s="23">
        <v>45053</v>
      </c>
      <c r="B36" s="23" t="s">
        <v>50</v>
      </c>
      <c r="C36" s="23" t="s">
        <v>23</v>
      </c>
      <c r="D36" s="7" t="s">
        <v>269</v>
      </c>
      <c r="E36" s="16">
        <v>11000000</v>
      </c>
      <c r="F36" s="16"/>
      <c r="G36" s="33">
        <f t="shared" si="1"/>
        <v>11953634.23</v>
      </c>
      <c r="H36" s="25">
        <f t="shared" si="0"/>
        <v>0</v>
      </c>
      <c r="I36" s="25"/>
      <c r="J36" s="16"/>
      <c r="K36" s="16"/>
      <c r="L36" s="16"/>
      <c r="M36" s="16"/>
      <c r="N36" s="16"/>
      <c r="O36" s="16"/>
      <c r="P36" s="16">
        <f>E36</f>
        <v>11000000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" t="s">
        <v>400</v>
      </c>
    </row>
    <row r="37" spans="1:28" ht="28.8" x14ac:dyDescent="0.3">
      <c r="A37" s="23">
        <v>45058</v>
      </c>
      <c r="B37" s="23" t="s">
        <v>51</v>
      </c>
      <c r="C37" s="23" t="s">
        <v>23</v>
      </c>
      <c r="D37" s="7" t="s">
        <v>270</v>
      </c>
      <c r="E37" s="16"/>
      <c r="F37" s="16">
        <v>11000000</v>
      </c>
      <c r="G37" s="33">
        <f t="shared" si="1"/>
        <v>953634.23000000045</v>
      </c>
      <c r="H37" s="25">
        <f t="shared" si="0"/>
        <v>0</v>
      </c>
      <c r="I37" s="25"/>
      <c r="J37" s="16"/>
      <c r="K37" s="16"/>
      <c r="L37" s="16"/>
      <c r="M37" s="16"/>
      <c r="N37" s="16"/>
      <c r="O37" s="16"/>
      <c r="P37" s="16">
        <f>-F37</f>
        <v>-11000000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8" ht="28.8" x14ac:dyDescent="0.3">
      <c r="A38" s="23">
        <v>45072</v>
      </c>
      <c r="B38" s="23" t="s">
        <v>52</v>
      </c>
      <c r="C38" s="23" t="s">
        <v>23</v>
      </c>
      <c r="D38" s="7" t="s">
        <v>249</v>
      </c>
      <c r="E38" s="16"/>
      <c r="F38" s="16">
        <v>105</v>
      </c>
      <c r="G38" s="33">
        <f t="shared" si="1"/>
        <v>953529.23000000045</v>
      </c>
      <c r="H38" s="25">
        <f t="shared" si="0"/>
        <v>0</v>
      </c>
      <c r="I38" s="25"/>
      <c r="J38" s="16"/>
      <c r="K38" s="16"/>
      <c r="L38" s="16"/>
      <c r="M38" s="16"/>
      <c r="N38" s="16"/>
      <c r="O38" s="16"/>
      <c r="P38" s="16"/>
      <c r="Q38" s="16"/>
      <c r="R38" s="16"/>
      <c r="S38" s="16">
        <f>-F38</f>
        <v>-105</v>
      </c>
      <c r="T38" s="16"/>
      <c r="U38" s="16"/>
      <c r="V38" s="16"/>
      <c r="W38" s="16"/>
      <c r="X38" s="16"/>
      <c r="Y38" s="16"/>
      <c r="Z38" s="16"/>
      <c r="AA38" s="16"/>
    </row>
    <row r="39" spans="1:28" ht="28.8" x14ac:dyDescent="0.3">
      <c r="A39" s="23">
        <v>45076</v>
      </c>
      <c r="B39" s="23" t="s">
        <v>53</v>
      </c>
      <c r="C39" s="23" t="s">
        <v>23</v>
      </c>
      <c r="D39" s="7" t="s">
        <v>271</v>
      </c>
      <c r="E39" s="16">
        <v>1000000</v>
      </c>
      <c r="F39" s="16"/>
      <c r="G39" s="33">
        <f t="shared" si="1"/>
        <v>1953529.2300000004</v>
      </c>
      <c r="H39" s="25">
        <f t="shared" si="0"/>
        <v>0</v>
      </c>
      <c r="I39" s="2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>
        <f>E39</f>
        <v>1000000</v>
      </c>
      <c r="W39" s="16"/>
      <c r="X39" s="16"/>
      <c r="Y39" s="16"/>
      <c r="Z39" s="16"/>
      <c r="AA39" s="16"/>
    </row>
    <row r="40" spans="1:28" ht="28.8" x14ac:dyDescent="0.3">
      <c r="A40" s="23">
        <v>45084</v>
      </c>
      <c r="B40" s="23">
        <v>500037</v>
      </c>
      <c r="C40" s="23">
        <v>500037</v>
      </c>
      <c r="D40" s="7" t="s">
        <v>272</v>
      </c>
      <c r="E40" s="16">
        <v>50000000</v>
      </c>
      <c r="F40" s="16"/>
      <c r="G40" s="33">
        <f t="shared" si="1"/>
        <v>51953529.230000004</v>
      </c>
      <c r="H40" s="25">
        <f t="shared" si="0"/>
        <v>0</v>
      </c>
      <c r="I40" s="2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>
        <f>E40</f>
        <v>50000000</v>
      </c>
      <c r="X40" s="16"/>
      <c r="Y40" s="16"/>
      <c r="Z40" s="16"/>
      <c r="AA40" s="16"/>
    </row>
    <row r="41" spans="1:28" ht="28.8" x14ac:dyDescent="0.3">
      <c r="A41" s="23">
        <v>45088</v>
      </c>
      <c r="B41" s="23" t="s">
        <v>54</v>
      </c>
      <c r="C41" s="23" t="s">
        <v>23</v>
      </c>
      <c r="D41" s="7" t="s">
        <v>273</v>
      </c>
      <c r="E41" s="16">
        <v>42533.33</v>
      </c>
      <c r="F41" s="16"/>
      <c r="G41" s="33">
        <f t="shared" si="1"/>
        <v>51996062.560000002</v>
      </c>
      <c r="H41" s="25">
        <f t="shared" si="0"/>
        <v>0</v>
      </c>
      <c r="I41" s="25"/>
      <c r="J41" s="16"/>
      <c r="K41" s="16"/>
      <c r="L41" s="16"/>
      <c r="M41" s="16"/>
      <c r="N41" s="16">
        <f>E41</f>
        <v>42533.33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8" ht="28.8" x14ac:dyDescent="0.3">
      <c r="A42" s="23">
        <v>45088</v>
      </c>
      <c r="B42" s="23" t="s">
        <v>55</v>
      </c>
      <c r="C42" s="23" t="s">
        <v>23</v>
      </c>
      <c r="D42" s="7" t="s">
        <v>274</v>
      </c>
      <c r="E42" s="16">
        <v>11000000</v>
      </c>
      <c r="F42" s="16"/>
      <c r="G42" s="33">
        <f t="shared" si="1"/>
        <v>62996062.560000002</v>
      </c>
      <c r="H42" s="25">
        <f t="shared" si="0"/>
        <v>0</v>
      </c>
      <c r="I42" s="25"/>
      <c r="J42" s="16"/>
      <c r="K42" s="16"/>
      <c r="L42" s="16"/>
      <c r="M42" s="16"/>
      <c r="N42" s="16"/>
      <c r="O42" s="16"/>
      <c r="P42" s="16">
        <f>E42</f>
        <v>11000000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" t="s">
        <v>400</v>
      </c>
    </row>
    <row r="43" spans="1:28" ht="28.8" x14ac:dyDescent="0.3">
      <c r="A43" s="23">
        <v>45089</v>
      </c>
      <c r="B43" s="23" t="s">
        <v>56</v>
      </c>
      <c r="C43" s="23" t="s">
        <v>57</v>
      </c>
      <c r="D43" s="7" t="s">
        <v>256</v>
      </c>
      <c r="E43" s="16"/>
      <c r="F43" s="16">
        <v>50000</v>
      </c>
      <c r="G43" s="33">
        <f t="shared" si="1"/>
        <v>62946062.560000002</v>
      </c>
      <c r="H43" s="25">
        <f t="shared" si="0"/>
        <v>0</v>
      </c>
      <c r="I43" s="25"/>
      <c r="J43" s="16"/>
      <c r="K43" s="16"/>
      <c r="L43" s="16"/>
      <c r="M43" s="16"/>
      <c r="N43" s="16"/>
      <c r="O43" s="16">
        <f>-F43</f>
        <v>-50000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8" ht="28.8" x14ac:dyDescent="0.3">
      <c r="A44" s="23">
        <v>45089</v>
      </c>
      <c r="B44" s="23">
        <v>781918</v>
      </c>
      <c r="C44" s="23" t="s">
        <v>23</v>
      </c>
      <c r="D44" s="7" t="s">
        <v>275</v>
      </c>
      <c r="E44" s="16"/>
      <c r="F44" s="16">
        <v>332580</v>
      </c>
      <c r="G44" s="33">
        <f t="shared" si="1"/>
        <v>62613482.560000002</v>
      </c>
      <c r="H44" s="25">
        <f t="shared" si="0"/>
        <v>0</v>
      </c>
      <c r="I44" s="25"/>
      <c r="J44" s="16"/>
      <c r="K44" s="16"/>
      <c r="L44" s="16"/>
      <c r="M44" s="16"/>
      <c r="N44" s="16"/>
      <c r="O44" s="16"/>
      <c r="P44" s="16"/>
      <c r="Q44" s="16">
        <f>-F44</f>
        <v>-332580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8" x14ac:dyDescent="0.3">
      <c r="A45" s="23">
        <v>45089</v>
      </c>
      <c r="B45" s="23">
        <v>781918</v>
      </c>
      <c r="C45" s="23" t="s">
        <v>23</v>
      </c>
      <c r="D45" s="7" t="s">
        <v>251</v>
      </c>
      <c r="E45" s="16"/>
      <c r="F45" s="16">
        <v>26.25</v>
      </c>
      <c r="G45" s="33">
        <f t="shared" si="1"/>
        <v>62613456.310000002</v>
      </c>
      <c r="H45" s="25">
        <f t="shared" si="0"/>
        <v>0</v>
      </c>
      <c r="I45" s="25"/>
      <c r="J45" s="16"/>
      <c r="K45" s="16"/>
      <c r="L45" s="16"/>
      <c r="M45" s="16"/>
      <c r="N45" s="16"/>
      <c r="O45" s="16"/>
      <c r="P45" s="16"/>
      <c r="Q45" s="16"/>
      <c r="R45" s="16"/>
      <c r="S45" s="16">
        <f>-F45</f>
        <v>-26.25</v>
      </c>
      <c r="T45" s="16"/>
      <c r="U45" s="16"/>
      <c r="V45" s="16"/>
      <c r="W45" s="16"/>
      <c r="X45" s="16"/>
      <c r="Y45" s="16"/>
      <c r="Z45" s="16"/>
      <c r="AA45" s="16"/>
    </row>
    <row r="46" spans="1:28" ht="28.8" x14ac:dyDescent="0.3">
      <c r="A46" s="23">
        <v>45089</v>
      </c>
      <c r="B46" s="23">
        <v>781919</v>
      </c>
      <c r="C46" s="23" t="s">
        <v>23</v>
      </c>
      <c r="D46" s="7" t="s">
        <v>276</v>
      </c>
      <c r="E46" s="16"/>
      <c r="F46" s="16">
        <v>174300</v>
      </c>
      <c r="G46" s="33">
        <f t="shared" si="1"/>
        <v>62439156.310000002</v>
      </c>
      <c r="H46" s="25">
        <f t="shared" si="0"/>
        <v>0</v>
      </c>
      <c r="I46" s="25"/>
      <c r="J46" s="16"/>
      <c r="K46" s="16"/>
      <c r="L46" s="16"/>
      <c r="M46" s="16"/>
      <c r="N46" s="16"/>
      <c r="O46" s="16"/>
      <c r="P46" s="16"/>
      <c r="Q46" s="16">
        <f>-F46</f>
        <v>-174300</v>
      </c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8" x14ac:dyDescent="0.3">
      <c r="A47" s="23">
        <v>45089</v>
      </c>
      <c r="B47" s="23">
        <v>781919</v>
      </c>
      <c r="C47" s="23" t="s">
        <v>23</v>
      </c>
      <c r="D47" s="7" t="s">
        <v>251</v>
      </c>
      <c r="E47" s="16"/>
      <c r="F47" s="16">
        <v>26.25</v>
      </c>
      <c r="G47" s="33">
        <f t="shared" si="1"/>
        <v>62439130.060000002</v>
      </c>
      <c r="H47" s="25">
        <f t="shared" si="0"/>
        <v>0</v>
      </c>
      <c r="I47" s="25"/>
      <c r="J47" s="16"/>
      <c r="K47" s="16"/>
      <c r="L47" s="16"/>
      <c r="M47" s="16"/>
      <c r="N47" s="16"/>
      <c r="O47" s="16"/>
      <c r="P47" s="16"/>
      <c r="Q47" s="16"/>
      <c r="R47" s="16"/>
      <c r="S47" s="16">
        <f>-F47</f>
        <v>-26.25</v>
      </c>
      <c r="T47" s="16"/>
      <c r="U47" s="16"/>
      <c r="V47" s="16"/>
      <c r="W47" s="16"/>
      <c r="X47" s="16"/>
      <c r="Y47" s="16"/>
      <c r="Z47" s="16"/>
      <c r="AA47" s="16"/>
    </row>
    <row r="48" spans="1:28" ht="28.8" x14ac:dyDescent="0.3">
      <c r="A48" s="23">
        <v>45089</v>
      </c>
      <c r="B48" s="23">
        <v>781917</v>
      </c>
      <c r="C48" s="23" t="s">
        <v>23</v>
      </c>
      <c r="D48" s="7" t="s">
        <v>277</v>
      </c>
      <c r="E48" s="16"/>
      <c r="F48" s="16">
        <v>8300000</v>
      </c>
      <c r="G48" s="33">
        <f t="shared" si="1"/>
        <v>54139130.060000002</v>
      </c>
      <c r="H48" s="25">
        <f t="shared" si="0"/>
        <v>0</v>
      </c>
      <c r="I48" s="25"/>
      <c r="J48" s="16"/>
      <c r="K48" s="16"/>
      <c r="L48" s="16"/>
      <c r="M48" s="16"/>
      <c r="N48" s="16"/>
      <c r="O48" s="16"/>
      <c r="P48" s="16"/>
      <c r="Q48" s="16">
        <f>-F48</f>
        <v>-8300000</v>
      </c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x14ac:dyDescent="0.3">
      <c r="A49" s="23">
        <v>45089</v>
      </c>
      <c r="B49" s="23">
        <v>781917</v>
      </c>
      <c r="C49" s="23" t="s">
        <v>23</v>
      </c>
      <c r="D49" s="7" t="s">
        <v>251</v>
      </c>
      <c r="E49" s="16"/>
      <c r="F49" s="16">
        <v>26.25</v>
      </c>
      <c r="G49" s="33">
        <f t="shared" si="1"/>
        <v>54139103.810000002</v>
      </c>
      <c r="H49" s="25">
        <f t="shared" si="0"/>
        <v>0</v>
      </c>
      <c r="I49" s="25"/>
      <c r="J49" s="16"/>
      <c r="K49" s="16"/>
      <c r="L49" s="16"/>
      <c r="M49" s="16"/>
      <c r="N49" s="16"/>
      <c r="O49" s="16"/>
      <c r="P49" s="16"/>
      <c r="Q49" s="16"/>
      <c r="R49" s="16"/>
      <c r="S49" s="16">
        <f>-F49</f>
        <v>-26.25</v>
      </c>
      <c r="T49" s="16"/>
      <c r="U49" s="16"/>
      <c r="V49" s="16"/>
      <c r="W49" s="16"/>
      <c r="X49" s="16"/>
      <c r="Y49" s="16"/>
      <c r="Z49" s="16"/>
      <c r="AA49" s="16"/>
    </row>
    <row r="50" spans="1:27" ht="28.8" x14ac:dyDescent="0.3">
      <c r="A50" s="23">
        <v>45089</v>
      </c>
      <c r="B50" s="23">
        <v>781920</v>
      </c>
      <c r="C50" s="23" t="s">
        <v>23</v>
      </c>
      <c r="D50" s="7" t="s">
        <v>278</v>
      </c>
      <c r="E50" s="16"/>
      <c r="F50" s="16">
        <v>17835</v>
      </c>
      <c r="G50" s="33">
        <f t="shared" si="1"/>
        <v>54121268.810000002</v>
      </c>
      <c r="H50" s="25">
        <f t="shared" si="0"/>
        <v>0</v>
      </c>
      <c r="I50" s="25"/>
      <c r="J50" s="16"/>
      <c r="K50" s="16"/>
      <c r="L50" s="16"/>
      <c r="M50" s="16"/>
      <c r="N50" s="16"/>
      <c r="O50" s="16"/>
      <c r="P50" s="16"/>
      <c r="Q50" s="16">
        <f>-F50</f>
        <v>-17835</v>
      </c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x14ac:dyDescent="0.3">
      <c r="A51" s="23">
        <v>45089</v>
      </c>
      <c r="B51" s="23">
        <v>781920</v>
      </c>
      <c r="C51" s="23" t="s">
        <v>23</v>
      </c>
      <c r="D51" s="7" t="s">
        <v>251</v>
      </c>
      <c r="E51" s="16"/>
      <c r="F51" s="16">
        <v>26.25</v>
      </c>
      <c r="G51" s="33">
        <f t="shared" si="1"/>
        <v>54121242.560000002</v>
      </c>
      <c r="H51" s="25">
        <f t="shared" si="0"/>
        <v>0</v>
      </c>
      <c r="I51" s="25"/>
      <c r="J51" s="16"/>
      <c r="K51" s="16"/>
      <c r="L51" s="16"/>
      <c r="M51" s="16"/>
      <c r="N51" s="16"/>
      <c r="O51" s="16"/>
      <c r="P51" s="16"/>
      <c r="Q51" s="16"/>
      <c r="R51" s="16"/>
      <c r="S51" s="16">
        <f>-F51</f>
        <v>-26.25</v>
      </c>
      <c r="T51" s="16"/>
      <c r="U51" s="16"/>
      <c r="V51" s="16"/>
      <c r="W51" s="16"/>
      <c r="X51" s="16"/>
      <c r="Y51" s="16"/>
      <c r="Z51" s="16"/>
      <c r="AA51" s="16"/>
    </row>
    <row r="52" spans="1:27" x14ac:dyDescent="0.3">
      <c r="A52" s="23">
        <v>45090</v>
      </c>
      <c r="B52" s="23" t="s">
        <v>58</v>
      </c>
      <c r="C52" s="23" t="s">
        <v>59</v>
      </c>
      <c r="D52" s="7" t="s">
        <v>279</v>
      </c>
      <c r="E52" s="16"/>
      <c r="F52" s="16">
        <v>2739.75</v>
      </c>
      <c r="G52" s="33">
        <f t="shared" si="1"/>
        <v>54118502.810000002</v>
      </c>
      <c r="H52" s="25">
        <f t="shared" si="0"/>
        <v>0</v>
      </c>
      <c r="I52" s="25"/>
      <c r="J52" s="16"/>
      <c r="K52" s="16"/>
      <c r="L52" s="16"/>
      <c r="M52" s="16">
        <f t="shared" ref="M52:M54" si="5">-F52</f>
        <v>-2739.75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x14ac:dyDescent="0.3">
      <c r="A53" s="23">
        <v>45092</v>
      </c>
      <c r="B53" s="23" t="s">
        <v>60</v>
      </c>
      <c r="C53" s="23">
        <v>202300392</v>
      </c>
      <c r="D53" s="7" t="s">
        <v>280</v>
      </c>
      <c r="E53" s="16"/>
      <c r="F53" s="16">
        <v>5771.55</v>
      </c>
      <c r="G53" s="33">
        <f t="shared" si="1"/>
        <v>54112731.260000005</v>
      </c>
      <c r="H53" s="25">
        <f t="shared" si="0"/>
        <v>0</v>
      </c>
      <c r="I53" s="25"/>
      <c r="J53" s="16"/>
      <c r="K53" s="16"/>
      <c r="L53" s="16"/>
      <c r="M53" s="16">
        <f t="shared" si="5"/>
        <v>-5771.55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28.8" x14ac:dyDescent="0.3">
      <c r="A54" s="23">
        <v>45096</v>
      </c>
      <c r="B54" s="23" t="s">
        <v>61</v>
      </c>
      <c r="C54" s="23" t="s">
        <v>62</v>
      </c>
      <c r="D54" s="7" t="s">
        <v>281</v>
      </c>
      <c r="E54" s="16"/>
      <c r="F54" s="16">
        <v>18375</v>
      </c>
      <c r="G54" s="33">
        <f t="shared" si="1"/>
        <v>54094356.260000005</v>
      </c>
      <c r="H54" s="25">
        <f t="shared" si="0"/>
        <v>0</v>
      </c>
      <c r="I54" s="25"/>
      <c r="J54" s="16"/>
      <c r="K54" s="16"/>
      <c r="L54" s="16"/>
      <c r="M54" s="16">
        <f t="shared" si="5"/>
        <v>-18375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28.8" x14ac:dyDescent="0.3">
      <c r="A55" s="23">
        <v>45097</v>
      </c>
      <c r="B55" s="23" t="s">
        <v>63</v>
      </c>
      <c r="C55" s="23" t="s">
        <v>23</v>
      </c>
      <c r="D55" s="7" t="s">
        <v>282</v>
      </c>
      <c r="E55" s="16"/>
      <c r="F55" s="16">
        <v>52000000</v>
      </c>
      <c r="G55" s="33">
        <f t="shared" si="1"/>
        <v>2094356.2600000054</v>
      </c>
      <c r="H55" s="25">
        <f t="shared" si="0"/>
        <v>0</v>
      </c>
      <c r="I55" s="25"/>
      <c r="J55" s="16"/>
      <c r="K55" s="16"/>
      <c r="L55" s="16"/>
      <c r="M55" s="16"/>
      <c r="N55" s="16"/>
      <c r="O55" s="16"/>
      <c r="P55" s="16">
        <f>-F55</f>
        <v>-52000000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28.8" x14ac:dyDescent="0.3">
      <c r="A56" s="23">
        <v>45099</v>
      </c>
      <c r="B56" s="23" t="s">
        <v>64</v>
      </c>
      <c r="C56" s="23" t="s">
        <v>23</v>
      </c>
      <c r="D56" s="7" t="s">
        <v>283</v>
      </c>
      <c r="E56" s="16">
        <v>1813.27</v>
      </c>
      <c r="F56" s="16"/>
      <c r="G56" s="33">
        <f t="shared" si="1"/>
        <v>2096169.5300000054</v>
      </c>
      <c r="H56" s="25">
        <f t="shared" si="0"/>
        <v>0</v>
      </c>
      <c r="I56" s="2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30">
        <f>E56</f>
        <v>1813.27</v>
      </c>
      <c r="Y56" s="16"/>
      <c r="Z56" s="16"/>
      <c r="AA56" s="16"/>
    </row>
    <row r="57" spans="1:27" ht="28.8" x14ac:dyDescent="0.3">
      <c r="A57" s="23">
        <v>45103</v>
      </c>
      <c r="B57" s="23" t="s">
        <v>65</v>
      </c>
      <c r="C57" s="23" t="s">
        <v>23</v>
      </c>
      <c r="D57" s="7" t="s">
        <v>249</v>
      </c>
      <c r="E57" s="16"/>
      <c r="F57" s="16">
        <v>105</v>
      </c>
      <c r="G57" s="33">
        <f t="shared" si="1"/>
        <v>2096064.5300000054</v>
      </c>
      <c r="H57" s="25">
        <f t="shared" si="0"/>
        <v>0</v>
      </c>
      <c r="I57" s="25"/>
      <c r="J57" s="16"/>
      <c r="K57" s="16"/>
      <c r="L57" s="16"/>
      <c r="M57" s="16"/>
      <c r="N57" s="16"/>
      <c r="O57" s="16"/>
      <c r="P57" s="16"/>
      <c r="Q57" s="16"/>
      <c r="R57" s="16"/>
      <c r="S57" s="16">
        <f>-F57</f>
        <v>-105</v>
      </c>
      <c r="T57" s="16"/>
      <c r="U57" s="16"/>
      <c r="V57" s="16"/>
      <c r="W57" s="16"/>
      <c r="X57" s="16"/>
      <c r="Y57" s="16"/>
      <c r="Z57" s="16"/>
      <c r="AA57" s="16"/>
    </row>
    <row r="58" spans="1:27" ht="28.8" x14ac:dyDescent="0.3">
      <c r="A58" s="23">
        <v>45119</v>
      </c>
      <c r="B58" s="23" t="s">
        <v>66</v>
      </c>
      <c r="C58" s="23" t="s">
        <v>67</v>
      </c>
      <c r="D58" s="7" t="s">
        <v>284</v>
      </c>
      <c r="E58" s="16"/>
      <c r="F58" s="16">
        <v>23081.74</v>
      </c>
      <c r="G58" s="33">
        <f t="shared" si="1"/>
        <v>2072982.7900000054</v>
      </c>
      <c r="H58" s="25">
        <f t="shared" si="0"/>
        <v>0</v>
      </c>
      <c r="I58" s="25"/>
      <c r="J58" s="16"/>
      <c r="K58" s="16"/>
      <c r="L58" s="16"/>
      <c r="M58" s="16">
        <f t="shared" ref="M58:M60" si="6">-F58</f>
        <v>-23081.74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x14ac:dyDescent="0.3">
      <c r="A59" s="23">
        <v>45119</v>
      </c>
      <c r="B59" s="23" t="s">
        <v>68</v>
      </c>
      <c r="C59" s="23" t="s">
        <v>69</v>
      </c>
      <c r="D59" s="7" t="s">
        <v>285</v>
      </c>
      <c r="E59" s="16"/>
      <c r="F59" s="16">
        <v>18375</v>
      </c>
      <c r="G59" s="33">
        <f t="shared" si="1"/>
        <v>2054607.7900000054</v>
      </c>
      <c r="H59" s="25">
        <f t="shared" si="0"/>
        <v>0</v>
      </c>
      <c r="I59" s="25"/>
      <c r="J59" s="16"/>
      <c r="K59" s="16"/>
      <c r="L59" s="16"/>
      <c r="M59" s="16">
        <f t="shared" si="6"/>
        <v>-18375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28.8" x14ac:dyDescent="0.3">
      <c r="A60" s="23">
        <v>45119</v>
      </c>
      <c r="B60" s="23" t="s">
        <v>70</v>
      </c>
      <c r="C60" s="23" t="s">
        <v>71</v>
      </c>
      <c r="D60" s="7" t="s">
        <v>286</v>
      </c>
      <c r="E60" s="16"/>
      <c r="F60" s="16">
        <v>18375</v>
      </c>
      <c r="G60" s="33">
        <f t="shared" si="1"/>
        <v>2036232.7900000054</v>
      </c>
      <c r="H60" s="25">
        <f t="shared" si="0"/>
        <v>0</v>
      </c>
      <c r="I60" s="25"/>
      <c r="J60" s="16"/>
      <c r="K60" s="16"/>
      <c r="L60" s="16"/>
      <c r="M60" s="16">
        <f t="shared" si="6"/>
        <v>-18375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28.8" x14ac:dyDescent="0.3">
      <c r="A61" s="23">
        <v>45119</v>
      </c>
      <c r="B61" s="23" t="s">
        <v>72</v>
      </c>
      <c r="C61" s="23" t="s">
        <v>23</v>
      </c>
      <c r="D61" s="7" t="s">
        <v>287</v>
      </c>
      <c r="E61" s="16"/>
      <c r="F61" s="16">
        <v>210</v>
      </c>
      <c r="G61" s="33">
        <f t="shared" si="1"/>
        <v>2036022.7900000054</v>
      </c>
      <c r="H61" s="25">
        <f t="shared" si="0"/>
        <v>0</v>
      </c>
      <c r="I61" s="25"/>
      <c r="J61" s="16"/>
      <c r="K61" s="16"/>
      <c r="L61" s="16"/>
      <c r="M61" s="16"/>
      <c r="N61" s="16"/>
      <c r="O61" s="16"/>
      <c r="P61" s="16"/>
      <c r="Q61" s="16"/>
      <c r="R61" s="16"/>
      <c r="S61" s="16">
        <f>-F61</f>
        <v>-210</v>
      </c>
      <c r="T61" s="16"/>
      <c r="U61" s="16"/>
      <c r="V61" s="16"/>
      <c r="W61" s="16"/>
      <c r="X61" s="16"/>
      <c r="Y61" s="16"/>
      <c r="Z61" s="16"/>
      <c r="AA61" s="16"/>
    </row>
    <row r="62" spans="1:27" x14ac:dyDescent="0.3">
      <c r="A62" s="23">
        <v>45120</v>
      </c>
      <c r="B62" s="23" t="s">
        <v>73</v>
      </c>
      <c r="C62" s="23" t="s">
        <v>74</v>
      </c>
      <c r="D62" s="7" t="s">
        <v>288</v>
      </c>
      <c r="E62" s="16"/>
      <c r="F62" s="16">
        <v>17547</v>
      </c>
      <c r="G62" s="33">
        <f t="shared" si="1"/>
        <v>2018475.7900000054</v>
      </c>
      <c r="H62" s="25">
        <f t="shared" si="0"/>
        <v>0</v>
      </c>
      <c r="I62" s="25"/>
      <c r="J62" s="16"/>
      <c r="K62" s="16"/>
      <c r="L62" s="16"/>
      <c r="M62" s="16">
        <f t="shared" ref="M62:M63" si="7">-F62</f>
        <v>-17547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x14ac:dyDescent="0.3">
      <c r="A63" s="23">
        <v>45120</v>
      </c>
      <c r="B63" s="23" t="s">
        <v>75</v>
      </c>
      <c r="C63" s="23" t="s">
        <v>76</v>
      </c>
      <c r="D63" s="7" t="s">
        <v>289</v>
      </c>
      <c r="E63" s="16"/>
      <c r="F63" s="16">
        <v>1000000</v>
      </c>
      <c r="G63" s="33">
        <f t="shared" si="1"/>
        <v>1018475.7900000054</v>
      </c>
      <c r="H63" s="25">
        <f t="shared" si="0"/>
        <v>0</v>
      </c>
      <c r="I63" s="25"/>
      <c r="J63" s="16"/>
      <c r="K63" s="16"/>
      <c r="L63" s="16"/>
      <c r="M63" s="16">
        <f t="shared" si="7"/>
        <v>-1000000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28.8" x14ac:dyDescent="0.3">
      <c r="A64" s="23">
        <v>45124</v>
      </c>
      <c r="B64" s="23" t="s">
        <v>77</v>
      </c>
      <c r="C64" s="23" t="s">
        <v>23</v>
      </c>
      <c r="D64" s="7" t="s">
        <v>290</v>
      </c>
      <c r="E64" s="16">
        <v>5000000</v>
      </c>
      <c r="F64" s="16"/>
      <c r="G64" s="33">
        <f t="shared" si="1"/>
        <v>6018475.7900000056</v>
      </c>
      <c r="H64" s="25">
        <f t="shared" si="0"/>
        <v>0</v>
      </c>
      <c r="I64" s="2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>
        <f t="shared" ref="V64:V66" si="8">E64</f>
        <v>5000000</v>
      </c>
      <c r="W64" s="16"/>
      <c r="X64" s="16"/>
      <c r="Y64" s="16"/>
      <c r="Z64" s="16"/>
      <c r="AA64" s="16"/>
    </row>
    <row r="65" spans="1:28" ht="28.8" x14ac:dyDescent="0.3">
      <c r="A65" s="23">
        <v>45124</v>
      </c>
      <c r="B65" s="23" t="s">
        <v>78</v>
      </c>
      <c r="C65" s="23" t="s">
        <v>23</v>
      </c>
      <c r="D65" s="7" t="s">
        <v>291</v>
      </c>
      <c r="E65" s="16">
        <v>3650000</v>
      </c>
      <c r="F65" s="16"/>
      <c r="G65" s="33">
        <f t="shared" si="1"/>
        <v>9668475.7900000066</v>
      </c>
      <c r="H65" s="25">
        <f t="shared" si="0"/>
        <v>0</v>
      </c>
      <c r="I65" s="2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>
        <f t="shared" si="8"/>
        <v>3650000</v>
      </c>
      <c r="W65" s="16"/>
      <c r="X65" s="16"/>
      <c r="Y65" s="16"/>
      <c r="Z65" s="16"/>
      <c r="AA65" s="16"/>
    </row>
    <row r="66" spans="1:28" ht="28.8" x14ac:dyDescent="0.3">
      <c r="A66" s="23">
        <v>45124</v>
      </c>
      <c r="B66" s="23" t="s">
        <v>79</v>
      </c>
      <c r="C66" s="23" t="s">
        <v>23</v>
      </c>
      <c r="D66" s="7" t="s">
        <v>292</v>
      </c>
      <c r="E66" s="16">
        <v>3250000</v>
      </c>
      <c r="F66" s="16"/>
      <c r="G66" s="33">
        <f t="shared" si="1"/>
        <v>12918475.790000007</v>
      </c>
      <c r="H66" s="25">
        <f t="shared" si="0"/>
        <v>0</v>
      </c>
      <c r="I66" s="2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f t="shared" si="8"/>
        <v>3250000</v>
      </c>
      <c r="W66" s="16"/>
      <c r="X66" s="16"/>
      <c r="Y66" s="16"/>
      <c r="Z66" s="16"/>
      <c r="AA66" s="16"/>
    </row>
    <row r="67" spans="1:28" x14ac:dyDescent="0.3">
      <c r="A67" s="23">
        <v>45124</v>
      </c>
      <c r="B67" s="23" t="s">
        <v>80</v>
      </c>
      <c r="C67" s="23" t="s">
        <v>23</v>
      </c>
      <c r="D67" s="7" t="s">
        <v>293</v>
      </c>
      <c r="E67" s="16">
        <v>18375</v>
      </c>
      <c r="F67" s="16"/>
      <c r="G67" s="33">
        <f t="shared" si="1"/>
        <v>12936850.790000007</v>
      </c>
      <c r="H67" s="25">
        <f t="shared" si="0"/>
        <v>0</v>
      </c>
      <c r="I67" s="2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>
        <f>E67</f>
        <v>18375</v>
      </c>
      <c r="AA67" s="16"/>
    </row>
    <row r="68" spans="1:28" ht="28.8" x14ac:dyDescent="0.3">
      <c r="A68" s="23">
        <v>45125</v>
      </c>
      <c r="B68" s="23" t="s">
        <v>81</v>
      </c>
      <c r="C68" s="23" t="s">
        <v>23</v>
      </c>
      <c r="D68" s="7" t="s">
        <v>294</v>
      </c>
      <c r="E68" s="16">
        <v>5000000</v>
      </c>
      <c r="F68" s="16"/>
      <c r="G68" s="33">
        <f t="shared" si="1"/>
        <v>17936850.790000007</v>
      </c>
      <c r="H68" s="25">
        <f t="shared" si="0"/>
        <v>0</v>
      </c>
      <c r="I68" s="2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>
        <f t="shared" ref="V68:V70" si="9">E68</f>
        <v>5000000</v>
      </c>
      <c r="W68" s="16"/>
      <c r="X68" s="16"/>
      <c r="Y68" s="16"/>
      <c r="Z68" s="16"/>
      <c r="AA68" s="16"/>
    </row>
    <row r="69" spans="1:28" ht="28.8" x14ac:dyDescent="0.3">
      <c r="A69" s="23">
        <v>45125</v>
      </c>
      <c r="B69" s="23" t="s">
        <v>82</v>
      </c>
      <c r="C69" s="23" t="s">
        <v>23</v>
      </c>
      <c r="D69" s="7" t="s">
        <v>295</v>
      </c>
      <c r="E69" s="16">
        <v>4500000</v>
      </c>
      <c r="F69" s="16"/>
      <c r="G69" s="33">
        <f t="shared" si="1"/>
        <v>22436850.790000007</v>
      </c>
      <c r="H69" s="25">
        <f t="shared" si="0"/>
        <v>0</v>
      </c>
      <c r="I69" s="2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f t="shared" si="9"/>
        <v>4500000</v>
      </c>
      <c r="W69" s="16"/>
      <c r="X69" s="16"/>
      <c r="Y69" s="16"/>
      <c r="Z69" s="16"/>
      <c r="AA69" s="16"/>
    </row>
    <row r="70" spans="1:28" ht="28.8" x14ac:dyDescent="0.3">
      <c r="A70" s="23">
        <v>45125</v>
      </c>
      <c r="B70" s="23" t="s">
        <v>83</v>
      </c>
      <c r="C70" s="23" t="s">
        <v>23</v>
      </c>
      <c r="D70" s="7" t="s">
        <v>296</v>
      </c>
      <c r="E70" s="16">
        <v>4500000</v>
      </c>
      <c r="F70" s="16"/>
      <c r="G70" s="33">
        <f t="shared" si="1"/>
        <v>26936850.790000007</v>
      </c>
      <c r="H70" s="25">
        <f t="shared" si="0"/>
        <v>0</v>
      </c>
      <c r="I70" s="2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>
        <f t="shared" si="9"/>
        <v>4500000</v>
      </c>
      <c r="W70" s="16"/>
      <c r="X70" s="16"/>
      <c r="Y70" s="16"/>
      <c r="Z70" s="16"/>
      <c r="AA70" s="16"/>
    </row>
    <row r="71" spans="1:28" ht="28.8" x14ac:dyDescent="0.3">
      <c r="A71" s="23">
        <v>45125</v>
      </c>
      <c r="B71" s="23" t="s">
        <v>84</v>
      </c>
      <c r="C71" s="23" t="s">
        <v>85</v>
      </c>
      <c r="D71" s="7" t="s">
        <v>297</v>
      </c>
      <c r="E71" s="16"/>
      <c r="F71" s="16">
        <v>2885.39</v>
      </c>
      <c r="G71" s="33">
        <f t="shared" si="1"/>
        <v>26933965.400000006</v>
      </c>
      <c r="H71" s="25">
        <f t="shared" ref="H71:H134" si="10">E71-F71-SUM(J71:AI71)</f>
        <v>0</v>
      </c>
      <c r="I71" s="25"/>
      <c r="J71" s="16"/>
      <c r="K71" s="16"/>
      <c r="L71" s="16"/>
      <c r="M71" s="16">
        <f>-F71</f>
        <v>-2885.39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8" ht="28.8" x14ac:dyDescent="0.3">
      <c r="A72" s="23">
        <v>45127</v>
      </c>
      <c r="B72" s="23" t="s">
        <v>86</v>
      </c>
      <c r="C72" s="23" t="s">
        <v>23</v>
      </c>
      <c r="D72" s="7" t="s">
        <v>298</v>
      </c>
      <c r="E72" s="16">
        <v>199766.67</v>
      </c>
      <c r="F72" s="16"/>
      <c r="G72" s="33">
        <f t="shared" si="1"/>
        <v>27133732.070000008</v>
      </c>
      <c r="H72" s="25">
        <f t="shared" si="10"/>
        <v>0</v>
      </c>
      <c r="I72" s="25"/>
      <c r="J72" s="16"/>
      <c r="K72" s="16"/>
      <c r="L72" s="16"/>
      <c r="M72" s="16"/>
      <c r="N72" s="16">
        <f>E72</f>
        <v>199766.67</v>
      </c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8" ht="28.8" x14ac:dyDescent="0.3">
      <c r="A73" s="23">
        <v>45127</v>
      </c>
      <c r="B73" s="23" t="s">
        <v>87</v>
      </c>
      <c r="C73" s="23" t="s">
        <v>23</v>
      </c>
      <c r="D73" s="7" t="s">
        <v>299</v>
      </c>
      <c r="E73" s="16">
        <v>52000000</v>
      </c>
      <c r="F73" s="16"/>
      <c r="G73" s="33">
        <f t="shared" ref="G73:G136" si="11">G72+E73-F73</f>
        <v>79133732.070000008</v>
      </c>
      <c r="H73" s="25">
        <f t="shared" si="10"/>
        <v>0</v>
      </c>
      <c r="I73" s="25"/>
      <c r="J73" s="16"/>
      <c r="K73" s="16"/>
      <c r="L73" s="16"/>
      <c r="M73" s="16"/>
      <c r="N73" s="16"/>
      <c r="O73" s="16"/>
      <c r="P73" s="16">
        <f>E73</f>
        <v>52000000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" t="s">
        <v>400</v>
      </c>
    </row>
    <row r="74" spans="1:28" ht="43.2" x14ac:dyDescent="0.3">
      <c r="A74" s="23">
        <v>45131</v>
      </c>
      <c r="B74" s="23">
        <v>782153</v>
      </c>
      <c r="C74" s="23" t="s">
        <v>23</v>
      </c>
      <c r="D74" s="7" t="s">
        <v>300</v>
      </c>
      <c r="E74" s="16"/>
      <c r="F74" s="16">
        <v>14000000</v>
      </c>
      <c r="G74" s="33">
        <f t="shared" si="11"/>
        <v>65133732.070000008</v>
      </c>
      <c r="H74" s="25">
        <f t="shared" si="10"/>
        <v>0</v>
      </c>
      <c r="I74" s="25"/>
      <c r="J74" s="16"/>
      <c r="K74" s="16"/>
      <c r="L74" s="16"/>
      <c r="M74" s="16"/>
      <c r="N74" s="16"/>
      <c r="O74" s="16"/>
      <c r="P74" s="16"/>
      <c r="Q74" s="16">
        <f>-F74</f>
        <v>-14000000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8" x14ac:dyDescent="0.3">
      <c r="A75" s="23">
        <v>45131</v>
      </c>
      <c r="B75" s="23">
        <v>782153</v>
      </c>
      <c r="C75" s="23" t="s">
        <v>23</v>
      </c>
      <c r="D75" s="7" t="s">
        <v>251</v>
      </c>
      <c r="E75" s="16"/>
      <c r="F75" s="16">
        <v>26.25</v>
      </c>
      <c r="G75" s="33">
        <f t="shared" si="11"/>
        <v>65133705.820000008</v>
      </c>
      <c r="H75" s="25">
        <f t="shared" si="10"/>
        <v>0</v>
      </c>
      <c r="I75" s="25"/>
      <c r="J75" s="16"/>
      <c r="K75" s="16"/>
      <c r="L75" s="16"/>
      <c r="M75" s="16"/>
      <c r="N75" s="16"/>
      <c r="O75" s="16"/>
      <c r="P75" s="16"/>
      <c r="Q75" s="16"/>
      <c r="R75" s="16"/>
      <c r="S75" s="16">
        <f>-F75</f>
        <v>-26.25</v>
      </c>
      <c r="T75" s="16"/>
      <c r="U75" s="16"/>
      <c r="V75" s="16"/>
      <c r="W75" s="16"/>
      <c r="X75" s="16"/>
      <c r="Y75" s="16"/>
      <c r="Z75" s="16"/>
      <c r="AA75" s="16"/>
    </row>
    <row r="76" spans="1:28" ht="28.8" x14ac:dyDescent="0.3">
      <c r="A76" s="23">
        <v>45131</v>
      </c>
      <c r="B76" s="23">
        <v>782155</v>
      </c>
      <c r="C76" s="23" t="s">
        <v>23</v>
      </c>
      <c r="D76" s="7" t="s">
        <v>301</v>
      </c>
      <c r="E76" s="16"/>
      <c r="F76" s="16">
        <v>560580</v>
      </c>
      <c r="G76" s="33">
        <f t="shared" si="11"/>
        <v>64573125.820000008</v>
      </c>
      <c r="H76" s="25">
        <f t="shared" si="10"/>
        <v>0</v>
      </c>
      <c r="I76" s="25"/>
      <c r="J76" s="16"/>
      <c r="K76" s="16"/>
      <c r="L76" s="16"/>
      <c r="M76" s="16"/>
      <c r="N76" s="16"/>
      <c r="O76" s="16"/>
      <c r="P76" s="16"/>
      <c r="Q76" s="16">
        <f>-F76</f>
        <v>-560580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8" x14ac:dyDescent="0.3">
      <c r="A77" s="23">
        <v>45131</v>
      </c>
      <c r="B77" s="23">
        <v>782155</v>
      </c>
      <c r="C77" s="23" t="s">
        <v>23</v>
      </c>
      <c r="D77" s="7" t="s">
        <v>251</v>
      </c>
      <c r="E77" s="16"/>
      <c r="F77" s="16">
        <v>26.25</v>
      </c>
      <c r="G77" s="33">
        <f t="shared" si="11"/>
        <v>64573099.570000008</v>
      </c>
      <c r="H77" s="25">
        <f t="shared" si="10"/>
        <v>0</v>
      </c>
      <c r="I77" s="25"/>
      <c r="J77" s="16"/>
      <c r="K77" s="16"/>
      <c r="L77" s="16"/>
      <c r="M77" s="16"/>
      <c r="N77" s="16"/>
      <c r="O77" s="16"/>
      <c r="P77" s="16"/>
      <c r="Q77" s="16"/>
      <c r="R77" s="16"/>
      <c r="S77" s="16">
        <f>-F77</f>
        <v>-26.25</v>
      </c>
      <c r="T77" s="16"/>
      <c r="U77" s="16"/>
      <c r="V77" s="16"/>
      <c r="W77" s="16"/>
      <c r="X77" s="16"/>
      <c r="Y77" s="16"/>
      <c r="Z77" s="16"/>
      <c r="AA77" s="16"/>
    </row>
    <row r="78" spans="1:28" ht="43.2" x14ac:dyDescent="0.3">
      <c r="A78" s="23">
        <v>45131</v>
      </c>
      <c r="B78" s="23">
        <v>782157</v>
      </c>
      <c r="C78" s="23" t="s">
        <v>23</v>
      </c>
      <c r="D78" s="7" t="s">
        <v>302</v>
      </c>
      <c r="E78" s="16"/>
      <c r="F78" s="16">
        <v>38872.93</v>
      </c>
      <c r="G78" s="33">
        <f t="shared" si="11"/>
        <v>64534226.640000008</v>
      </c>
      <c r="H78" s="25">
        <f t="shared" si="10"/>
        <v>0</v>
      </c>
      <c r="I78" s="25"/>
      <c r="J78" s="16"/>
      <c r="K78" s="16"/>
      <c r="L78" s="16"/>
      <c r="M78" s="16"/>
      <c r="N78" s="16"/>
      <c r="O78" s="16"/>
      <c r="P78" s="16"/>
      <c r="Q78" s="16">
        <f>-F78</f>
        <v>-38872.93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8" x14ac:dyDescent="0.3">
      <c r="A79" s="23">
        <v>45131</v>
      </c>
      <c r="B79" s="23">
        <v>782157</v>
      </c>
      <c r="C79" s="23" t="s">
        <v>23</v>
      </c>
      <c r="D79" s="7" t="s">
        <v>251</v>
      </c>
      <c r="E79" s="16"/>
      <c r="F79" s="16">
        <v>26.25</v>
      </c>
      <c r="G79" s="33">
        <f t="shared" si="11"/>
        <v>64534200.390000008</v>
      </c>
      <c r="H79" s="25">
        <f t="shared" si="10"/>
        <v>0</v>
      </c>
      <c r="I79" s="25"/>
      <c r="J79" s="16"/>
      <c r="K79" s="16"/>
      <c r="L79" s="16"/>
      <c r="M79" s="16"/>
      <c r="N79" s="16"/>
      <c r="O79" s="16"/>
      <c r="P79" s="16"/>
      <c r="Q79" s="16"/>
      <c r="R79" s="16"/>
      <c r="S79" s="16">
        <f>-F79</f>
        <v>-26.25</v>
      </c>
      <c r="T79" s="16"/>
      <c r="U79" s="16"/>
      <c r="V79" s="16"/>
      <c r="W79" s="16"/>
      <c r="X79" s="16"/>
      <c r="Y79" s="16"/>
      <c r="Z79" s="16"/>
      <c r="AA79" s="16"/>
    </row>
    <row r="80" spans="1:28" ht="28.8" x14ac:dyDescent="0.3">
      <c r="A80" s="23">
        <v>45131</v>
      </c>
      <c r="B80" s="23">
        <v>782156</v>
      </c>
      <c r="C80" s="23" t="s">
        <v>23</v>
      </c>
      <c r="D80" s="7" t="s">
        <v>303</v>
      </c>
      <c r="E80" s="16"/>
      <c r="F80" s="16">
        <v>220500</v>
      </c>
      <c r="G80" s="33">
        <f t="shared" si="11"/>
        <v>64313700.390000008</v>
      </c>
      <c r="H80" s="25">
        <f t="shared" si="10"/>
        <v>0</v>
      </c>
      <c r="I80" s="25"/>
      <c r="J80" s="16"/>
      <c r="K80" s="16"/>
      <c r="L80" s="16"/>
      <c r="M80" s="16"/>
      <c r="N80" s="16"/>
      <c r="O80" s="16"/>
      <c r="P80" s="16"/>
      <c r="Q80" s="16">
        <f>-F80</f>
        <v>-220500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x14ac:dyDescent="0.3">
      <c r="A81" s="23">
        <v>45131</v>
      </c>
      <c r="B81" s="23">
        <v>782156</v>
      </c>
      <c r="C81" s="23" t="s">
        <v>23</v>
      </c>
      <c r="D81" s="7" t="s">
        <v>251</v>
      </c>
      <c r="E81" s="16"/>
      <c r="F81" s="16">
        <v>26.25</v>
      </c>
      <c r="G81" s="33">
        <f t="shared" si="11"/>
        <v>64313674.140000008</v>
      </c>
      <c r="H81" s="25">
        <f t="shared" si="10"/>
        <v>0</v>
      </c>
      <c r="I81" s="25"/>
      <c r="J81" s="16"/>
      <c r="K81" s="16"/>
      <c r="L81" s="16"/>
      <c r="M81" s="16"/>
      <c r="N81" s="16"/>
      <c r="O81" s="16"/>
      <c r="P81" s="16"/>
      <c r="Q81" s="16"/>
      <c r="R81" s="16"/>
      <c r="S81" s="16">
        <f>-F81</f>
        <v>-26.25</v>
      </c>
      <c r="T81" s="16"/>
      <c r="U81" s="16"/>
      <c r="V81" s="16"/>
      <c r="W81" s="16"/>
      <c r="X81" s="16"/>
      <c r="Y81" s="16"/>
      <c r="Z81" s="16"/>
      <c r="AA81" s="16"/>
    </row>
    <row r="82" spans="1:27" x14ac:dyDescent="0.3">
      <c r="A82" s="23">
        <v>45132</v>
      </c>
      <c r="B82" s="23" t="s">
        <v>88</v>
      </c>
      <c r="C82" s="23" t="s">
        <v>89</v>
      </c>
      <c r="D82" s="7" t="s">
        <v>304</v>
      </c>
      <c r="E82" s="16"/>
      <c r="F82" s="16">
        <v>2625</v>
      </c>
      <c r="G82" s="33">
        <f t="shared" si="11"/>
        <v>64311049.140000008</v>
      </c>
      <c r="H82" s="25">
        <f t="shared" si="10"/>
        <v>0</v>
      </c>
      <c r="I82" s="25"/>
      <c r="J82" s="16"/>
      <c r="K82" s="16"/>
      <c r="L82" s="16"/>
      <c r="M82" s="16">
        <f>-F82</f>
        <v>-2625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28.8" x14ac:dyDescent="0.3">
      <c r="A83" s="23">
        <v>45133</v>
      </c>
      <c r="B83" s="23" t="s">
        <v>90</v>
      </c>
      <c r="C83" s="23" t="s">
        <v>23</v>
      </c>
      <c r="D83" s="7" t="s">
        <v>249</v>
      </c>
      <c r="E83" s="16"/>
      <c r="F83" s="16">
        <v>105</v>
      </c>
      <c r="G83" s="33">
        <f t="shared" si="11"/>
        <v>64310944.140000008</v>
      </c>
      <c r="H83" s="25">
        <f t="shared" si="10"/>
        <v>0</v>
      </c>
      <c r="I83" s="25"/>
      <c r="J83" s="16"/>
      <c r="K83" s="16"/>
      <c r="L83" s="16"/>
      <c r="M83" s="16"/>
      <c r="N83" s="16"/>
      <c r="O83" s="16"/>
      <c r="P83" s="16"/>
      <c r="Q83" s="16"/>
      <c r="R83" s="16"/>
      <c r="S83" s="16">
        <f>-F83</f>
        <v>-105</v>
      </c>
      <c r="T83" s="16"/>
      <c r="U83" s="16"/>
      <c r="V83" s="16"/>
      <c r="W83" s="16"/>
      <c r="X83" s="16"/>
      <c r="Y83" s="16"/>
      <c r="Z83" s="16"/>
      <c r="AA83" s="16"/>
    </row>
    <row r="84" spans="1:27" ht="43.2" x14ac:dyDescent="0.3">
      <c r="A84" s="23">
        <v>45133</v>
      </c>
      <c r="B84" s="23">
        <v>782175</v>
      </c>
      <c r="C84" s="23" t="s">
        <v>23</v>
      </c>
      <c r="D84" s="7" t="s">
        <v>305</v>
      </c>
      <c r="E84" s="16"/>
      <c r="F84" s="16">
        <v>18075.2</v>
      </c>
      <c r="G84" s="33">
        <f t="shared" si="11"/>
        <v>64292868.940000005</v>
      </c>
      <c r="H84" s="25">
        <f t="shared" si="10"/>
        <v>0</v>
      </c>
      <c r="I84" s="25"/>
      <c r="J84" s="16"/>
      <c r="K84" s="16"/>
      <c r="L84" s="16"/>
      <c r="M84" s="16"/>
      <c r="N84" s="16"/>
      <c r="O84" s="16"/>
      <c r="P84" s="16"/>
      <c r="Q84" s="16">
        <f>-F84</f>
        <v>-18075.2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x14ac:dyDescent="0.3">
      <c r="A85" s="23">
        <v>45133</v>
      </c>
      <c r="B85" s="23">
        <v>782175</v>
      </c>
      <c r="C85" s="23" t="s">
        <v>23</v>
      </c>
      <c r="D85" s="7" t="s">
        <v>251</v>
      </c>
      <c r="E85" s="16"/>
      <c r="F85" s="16">
        <v>26.25</v>
      </c>
      <c r="G85" s="33">
        <f t="shared" si="11"/>
        <v>64292842.690000005</v>
      </c>
      <c r="H85" s="25">
        <f t="shared" si="10"/>
        <v>0</v>
      </c>
      <c r="I85" s="25"/>
      <c r="J85" s="16"/>
      <c r="K85" s="16"/>
      <c r="L85" s="16"/>
      <c r="M85" s="16"/>
      <c r="N85" s="16"/>
      <c r="O85" s="16"/>
      <c r="P85" s="16"/>
      <c r="Q85" s="16"/>
      <c r="R85" s="16"/>
      <c r="S85" s="16">
        <f>-F85</f>
        <v>-26.25</v>
      </c>
      <c r="T85" s="16"/>
      <c r="U85" s="16"/>
      <c r="V85" s="16"/>
      <c r="W85" s="16"/>
      <c r="X85" s="16"/>
      <c r="Y85" s="16"/>
      <c r="Z85" s="16"/>
      <c r="AA85" s="16"/>
    </row>
    <row r="86" spans="1:27" ht="43.2" x14ac:dyDescent="0.3">
      <c r="A86" s="23">
        <v>45133</v>
      </c>
      <c r="B86" s="23">
        <v>782176</v>
      </c>
      <c r="C86" s="23" t="s">
        <v>23</v>
      </c>
      <c r="D86" s="7" t="s">
        <v>306</v>
      </c>
      <c r="E86" s="16"/>
      <c r="F86" s="16">
        <v>10000000</v>
      </c>
      <c r="G86" s="33">
        <f t="shared" si="11"/>
        <v>54292842.690000005</v>
      </c>
      <c r="H86" s="25">
        <f t="shared" si="10"/>
        <v>0</v>
      </c>
      <c r="I86" s="25"/>
      <c r="J86" s="16"/>
      <c r="K86" s="16"/>
      <c r="L86" s="16"/>
      <c r="M86" s="16"/>
      <c r="N86" s="16"/>
      <c r="O86" s="16"/>
      <c r="P86" s="16"/>
      <c r="Q86" s="16">
        <f>-F86</f>
        <v>-10000000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x14ac:dyDescent="0.3">
      <c r="A87" s="23">
        <v>45133</v>
      </c>
      <c r="B87" s="23">
        <v>782176</v>
      </c>
      <c r="C87" s="23" t="s">
        <v>23</v>
      </c>
      <c r="D87" s="7" t="s">
        <v>251</v>
      </c>
      <c r="E87" s="16"/>
      <c r="F87" s="16">
        <v>26.25</v>
      </c>
      <c r="G87" s="33">
        <f t="shared" si="11"/>
        <v>54292816.440000005</v>
      </c>
      <c r="H87" s="25">
        <f t="shared" si="10"/>
        <v>0</v>
      </c>
      <c r="I87" s="25"/>
      <c r="J87" s="16"/>
      <c r="K87" s="16"/>
      <c r="L87" s="16"/>
      <c r="M87" s="16"/>
      <c r="N87" s="16"/>
      <c r="O87" s="16"/>
      <c r="P87" s="16"/>
      <c r="Q87" s="16"/>
      <c r="R87" s="16"/>
      <c r="S87" s="16">
        <f>-F87</f>
        <v>-26.25</v>
      </c>
      <c r="T87" s="16"/>
      <c r="U87" s="16"/>
      <c r="V87" s="16"/>
      <c r="W87" s="16"/>
      <c r="X87" s="16"/>
      <c r="Y87" s="16"/>
      <c r="Z87" s="16"/>
      <c r="AA87" s="16"/>
    </row>
    <row r="88" spans="1:27" ht="28.8" x14ac:dyDescent="0.3">
      <c r="A88" s="23">
        <v>45133</v>
      </c>
      <c r="B88" s="23">
        <v>782174</v>
      </c>
      <c r="C88" s="23" t="s">
        <v>23</v>
      </c>
      <c r="D88" s="7" t="s">
        <v>307</v>
      </c>
      <c r="E88" s="16"/>
      <c r="F88" s="16">
        <v>410430</v>
      </c>
      <c r="G88" s="33">
        <f t="shared" si="11"/>
        <v>53882386.440000005</v>
      </c>
      <c r="H88" s="25">
        <f t="shared" si="10"/>
        <v>0</v>
      </c>
      <c r="I88" s="25"/>
      <c r="J88" s="16"/>
      <c r="K88" s="16"/>
      <c r="L88" s="16"/>
      <c r="M88" s="16"/>
      <c r="N88" s="16"/>
      <c r="O88" s="16"/>
      <c r="P88" s="16"/>
      <c r="Q88" s="16">
        <f>-F88</f>
        <v>-410430</v>
      </c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x14ac:dyDescent="0.3">
      <c r="A89" s="23">
        <v>45133</v>
      </c>
      <c r="B89" s="23">
        <v>782174</v>
      </c>
      <c r="C89" s="23" t="s">
        <v>23</v>
      </c>
      <c r="D89" s="7" t="s">
        <v>251</v>
      </c>
      <c r="E89" s="16"/>
      <c r="F89" s="16">
        <v>26.25</v>
      </c>
      <c r="G89" s="33">
        <f t="shared" si="11"/>
        <v>53882360.190000005</v>
      </c>
      <c r="H89" s="25">
        <f t="shared" si="10"/>
        <v>0</v>
      </c>
      <c r="I89" s="25"/>
      <c r="J89" s="16"/>
      <c r="K89" s="16"/>
      <c r="L89" s="16"/>
      <c r="M89" s="16"/>
      <c r="N89" s="16"/>
      <c r="O89" s="16"/>
      <c r="P89" s="16"/>
      <c r="Q89" s="16"/>
      <c r="R89" s="16"/>
      <c r="S89" s="16">
        <f>-F89</f>
        <v>-26.25</v>
      </c>
      <c r="T89" s="16"/>
      <c r="U89" s="16"/>
      <c r="V89" s="16"/>
      <c r="W89" s="16"/>
      <c r="X89" s="16"/>
      <c r="Y89" s="16"/>
      <c r="Z89" s="16"/>
      <c r="AA89" s="16"/>
    </row>
    <row r="90" spans="1:27" ht="28.8" x14ac:dyDescent="0.3">
      <c r="A90" s="23">
        <v>45133</v>
      </c>
      <c r="B90" s="23">
        <v>782173</v>
      </c>
      <c r="C90" s="23" t="s">
        <v>23</v>
      </c>
      <c r="D90" s="7" t="s">
        <v>308</v>
      </c>
      <c r="E90" s="16"/>
      <c r="F90" s="16">
        <v>368125</v>
      </c>
      <c r="G90" s="33">
        <f t="shared" si="11"/>
        <v>53514235.190000005</v>
      </c>
      <c r="H90" s="25">
        <f t="shared" si="10"/>
        <v>0</v>
      </c>
      <c r="I90" s="25"/>
      <c r="J90" s="16"/>
      <c r="K90" s="16"/>
      <c r="L90" s="16"/>
      <c r="M90" s="16"/>
      <c r="N90" s="16"/>
      <c r="O90" s="16"/>
      <c r="P90" s="16"/>
      <c r="Q90" s="16">
        <f>-F90</f>
        <v>-368125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x14ac:dyDescent="0.3">
      <c r="A91" s="23">
        <v>45133</v>
      </c>
      <c r="B91" s="23">
        <v>782173</v>
      </c>
      <c r="C91" s="23" t="s">
        <v>23</v>
      </c>
      <c r="D91" s="7" t="s">
        <v>251</v>
      </c>
      <c r="E91" s="16"/>
      <c r="F91" s="16">
        <v>26.25</v>
      </c>
      <c r="G91" s="33">
        <f t="shared" si="11"/>
        <v>53514208.940000005</v>
      </c>
      <c r="H91" s="25">
        <f t="shared" si="10"/>
        <v>0</v>
      </c>
      <c r="I91" s="25"/>
      <c r="J91" s="16"/>
      <c r="K91" s="16"/>
      <c r="L91" s="16"/>
      <c r="M91" s="16"/>
      <c r="N91" s="16"/>
      <c r="O91" s="16"/>
      <c r="P91" s="16"/>
      <c r="Q91" s="16"/>
      <c r="R91" s="16"/>
      <c r="S91" s="16">
        <f>-F91</f>
        <v>-26.25</v>
      </c>
      <c r="T91" s="16"/>
      <c r="U91" s="16"/>
      <c r="V91" s="16"/>
      <c r="W91" s="16"/>
      <c r="X91" s="16"/>
      <c r="Y91" s="16"/>
      <c r="Z91" s="16"/>
      <c r="AA91" s="16"/>
    </row>
    <row r="92" spans="1:27" ht="28.8" x14ac:dyDescent="0.3">
      <c r="A92" s="23">
        <v>45139</v>
      </c>
      <c r="B92" s="23" t="s">
        <v>91</v>
      </c>
      <c r="C92" s="23" t="s">
        <v>92</v>
      </c>
      <c r="D92" s="7" t="s">
        <v>309</v>
      </c>
      <c r="E92" s="16"/>
      <c r="F92" s="16">
        <v>21000</v>
      </c>
      <c r="G92" s="33">
        <f t="shared" si="11"/>
        <v>53493208.940000005</v>
      </c>
      <c r="H92" s="25">
        <f t="shared" si="10"/>
        <v>0</v>
      </c>
      <c r="I92" s="25"/>
      <c r="J92" s="16"/>
      <c r="K92" s="16"/>
      <c r="L92" s="16"/>
      <c r="M92" s="16">
        <f>-F92</f>
        <v>-21000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28.8" x14ac:dyDescent="0.3">
      <c r="A93" s="23">
        <v>45139</v>
      </c>
      <c r="B93" s="23" t="s">
        <v>93</v>
      </c>
      <c r="C93" s="23" t="s">
        <v>23</v>
      </c>
      <c r="D93" s="7" t="s">
        <v>310</v>
      </c>
      <c r="E93" s="16"/>
      <c r="F93" s="16">
        <v>33000000</v>
      </c>
      <c r="G93" s="33">
        <f t="shared" si="11"/>
        <v>20493208.940000005</v>
      </c>
      <c r="H93" s="25">
        <f t="shared" si="10"/>
        <v>0</v>
      </c>
      <c r="I93" s="25"/>
      <c r="J93" s="16"/>
      <c r="K93" s="16"/>
      <c r="L93" s="16"/>
      <c r="M93" s="16"/>
      <c r="N93" s="16"/>
      <c r="O93" s="16"/>
      <c r="P93" s="16">
        <f>-F93</f>
        <v>-33000000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x14ac:dyDescent="0.3">
      <c r="A94" s="23">
        <v>45142</v>
      </c>
      <c r="B94" s="23" t="s">
        <v>94</v>
      </c>
      <c r="C94" s="23" t="s">
        <v>95</v>
      </c>
      <c r="D94" s="7" t="s">
        <v>311</v>
      </c>
      <c r="E94" s="16"/>
      <c r="F94" s="16">
        <v>600</v>
      </c>
      <c r="G94" s="33">
        <f t="shared" si="11"/>
        <v>20492608.940000005</v>
      </c>
      <c r="H94" s="25">
        <f t="shared" si="10"/>
        <v>0</v>
      </c>
      <c r="I94" s="25"/>
      <c r="J94" s="16"/>
      <c r="K94" s="16"/>
      <c r="L94" s="16"/>
      <c r="M94" s="16">
        <f>-F94</f>
        <v>-600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28.8" x14ac:dyDescent="0.3">
      <c r="A95" s="23">
        <v>45153</v>
      </c>
      <c r="B95" s="23" t="s">
        <v>96</v>
      </c>
      <c r="C95" s="23" t="s">
        <v>97</v>
      </c>
      <c r="D95" s="7" t="s">
        <v>256</v>
      </c>
      <c r="E95" s="16"/>
      <c r="F95" s="16">
        <v>50000</v>
      </c>
      <c r="G95" s="33">
        <f t="shared" si="11"/>
        <v>20442608.940000005</v>
      </c>
      <c r="H95" s="25">
        <f t="shared" si="10"/>
        <v>0</v>
      </c>
      <c r="I95" s="25"/>
      <c r="J95" s="16"/>
      <c r="K95" s="16"/>
      <c r="L95" s="16"/>
      <c r="M95" s="16"/>
      <c r="N95" s="16"/>
      <c r="O95" s="16">
        <f t="shared" ref="O95:O96" si="12">-F95</f>
        <v>-50000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28.8" x14ac:dyDescent="0.3">
      <c r="A96" s="23">
        <v>45153</v>
      </c>
      <c r="B96" s="23" t="s">
        <v>98</v>
      </c>
      <c r="C96" s="23" t="s">
        <v>99</v>
      </c>
      <c r="D96" s="7" t="s">
        <v>256</v>
      </c>
      <c r="E96" s="16"/>
      <c r="F96" s="16">
        <v>50000</v>
      </c>
      <c r="G96" s="33">
        <f t="shared" si="11"/>
        <v>20392608.940000005</v>
      </c>
      <c r="H96" s="25">
        <f t="shared" si="10"/>
        <v>0</v>
      </c>
      <c r="I96" s="25"/>
      <c r="J96" s="16"/>
      <c r="K96" s="16"/>
      <c r="L96" s="16"/>
      <c r="M96" s="16"/>
      <c r="N96" s="16"/>
      <c r="O96" s="16">
        <f t="shared" si="12"/>
        <v>-50000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28.8" x14ac:dyDescent="0.3">
      <c r="A97" s="23">
        <v>45153</v>
      </c>
      <c r="B97" s="23" t="s">
        <v>100</v>
      </c>
      <c r="C97" s="23" t="s">
        <v>23</v>
      </c>
      <c r="D97" s="7" t="s">
        <v>101</v>
      </c>
      <c r="E97" s="16"/>
      <c r="F97" s="16">
        <v>56500</v>
      </c>
      <c r="G97" s="33">
        <f t="shared" si="11"/>
        <v>20336108.940000005</v>
      </c>
      <c r="H97" s="25">
        <f t="shared" si="10"/>
        <v>0</v>
      </c>
      <c r="I97" s="25"/>
      <c r="J97" s="16"/>
      <c r="K97" s="16"/>
      <c r="L97" s="16"/>
      <c r="M97" s="16"/>
      <c r="N97" s="16"/>
      <c r="O97" s="16"/>
      <c r="P97" s="16"/>
      <c r="Q97" s="16"/>
      <c r="R97" s="16">
        <f>-F97</f>
        <v>-56500</v>
      </c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28.8" x14ac:dyDescent="0.3">
      <c r="A98" s="23">
        <v>45153</v>
      </c>
      <c r="B98" s="23" t="s">
        <v>102</v>
      </c>
      <c r="C98" s="23" t="s">
        <v>23</v>
      </c>
      <c r="D98" s="7" t="s">
        <v>103</v>
      </c>
      <c r="E98" s="16"/>
      <c r="F98" s="16">
        <v>26.25</v>
      </c>
      <c r="G98" s="33">
        <f t="shared" si="11"/>
        <v>20336082.690000005</v>
      </c>
      <c r="H98" s="25">
        <f t="shared" si="10"/>
        <v>0</v>
      </c>
      <c r="I98" s="25"/>
      <c r="J98" s="16"/>
      <c r="K98" s="16"/>
      <c r="L98" s="16"/>
      <c r="M98" s="16"/>
      <c r="N98" s="16"/>
      <c r="O98" s="16"/>
      <c r="P98" s="16"/>
      <c r="Q98" s="16"/>
      <c r="R98" s="16"/>
      <c r="S98" s="16">
        <f>-F98</f>
        <v>-26.25</v>
      </c>
      <c r="T98" s="16"/>
      <c r="U98" s="16"/>
      <c r="V98" s="16"/>
      <c r="W98" s="16"/>
      <c r="X98" s="16"/>
      <c r="Y98" s="16"/>
      <c r="Z98" s="16"/>
      <c r="AA98" s="16"/>
    </row>
    <row r="99" spans="1:27" x14ac:dyDescent="0.3">
      <c r="A99" s="23">
        <v>45153</v>
      </c>
      <c r="B99" s="23" t="s">
        <v>104</v>
      </c>
      <c r="C99" s="23" t="s">
        <v>105</v>
      </c>
      <c r="D99" s="7" t="s">
        <v>312</v>
      </c>
      <c r="E99" s="16"/>
      <c r="F99" s="16">
        <v>324</v>
      </c>
      <c r="G99" s="33">
        <f t="shared" si="11"/>
        <v>20335758.690000005</v>
      </c>
      <c r="H99" s="25">
        <f t="shared" si="10"/>
        <v>0</v>
      </c>
      <c r="I99" s="25"/>
      <c r="J99" s="16"/>
      <c r="K99" s="16"/>
      <c r="L99" s="16"/>
      <c r="M99" s="16">
        <f t="shared" ref="M99:M102" si="13">-F99</f>
        <v>-324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x14ac:dyDescent="0.3">
      <c r="A100" s="23">
        <v>45153</v>
      </c>
      <c r="B100" s="23" t="s">
        <v>106</v>
      </c>
      <c r="C100" s="23" t="s">
        <v>107</v>
      </c>
      <c r="D100" s="7" t="s">
        <v>313</v>
      </c>
      <c r="E100" s="16"/>
      <c r="F100" s="16">
        <v>3800</v>
      </c>
      <c r="G100" s="33">
        <f t="shared" si="11"/>
        <v>20331958.690000005</v>
      </c>
      <c r="H100" s="25">
        <f t="shared" si="10"/>
        <v>0</v>
      </c>
      <c r="I100" s="25"/>
      <c r="J100" s="16"/>
      <c r="K100" s="16"/>
      <c r="L100" s="16"/>
      <c r="M100" s="16">
        <f t="shared" si="13"/>
        <v>-3800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x14ac:dyDescent="0.3">
      <c r="A101" s="23">
        <v>45161</v>
      </c>
      <c r="B101" s="23" t="s">
        <v>108</v>
      </c>
      <c r="C101" s="23" t="s">
        <v>109</v>
      </c>
      <c r="D101" s="7" t="s">
        <v>314</v>
      </c>
      <c r="E101" s="16"/>
      <c r="F101" s="16">
        <v>54694</v>
      </c>
      <c r="G101" s="33">
        <f t="shared" si="11"/>
        <v>20277264.690000005</v>
      </c>
      <c r="H101" s="25">
        <f t="shared" si="10"/>
        <v>0</v>
      </c>
      <c r="I101" s="25"/>
      <c r="J101" s="16"/>
      <c r="K101" s="16"/>
      <c r="L101" s="16"/>
      <c r="M101" s="16">
        <f t="shared" si="13"/>
        <v>-54694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x14ac:dyDescent="0.3">
      <c r="A102" s="23">
        <v>45162</v>
      </c>
      <c r="B102" s="23" t="s">
        <v>110</v>
      </c>
      <c r="C102" s="23" t="s">
        <v>111</v>
      </c>
      <c r="D102" s="7" t="s">
        <v>315</v>
      </c>
      <c r="E102" s="16"/>
      <c r="F102" s="16">
        <v>500</v>
      </c>
      <c r="G102" s="33">
        <f t="shared" si="11"/>
        <v>20276764.690000005</v>
      </c>
      <c r="H102" s="25">
        <f t="shared" si="10"/>
        <v>0</v>
      </c>
      <c r="I102" s="25"/>
      <c r="J102" s="16"/>
      <c r="K102" s="16"/>
      <c r="L102" s="16"/>
      <c r="M102" s="16">
        <f t="shared" si="13"/>
        <v>-500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28.8" x14ac:dyDescent="0.3">
      <c r="A103" s="23">
        <v>45164</v>
      </c>
      <c r="B103" s="23" t="s">
        <v>112</v>
      </c>
      <c r="C103" s="23" t="s">
        <v>23</v>
      </c>
      <c r="D103" s="7" t="s">
        <v>249</v>
      </c>
      <c r="E103" s="16"/>
      <c r="F103" s="16">
        <v>105</v>
      </c>
      <c r="G103" s="33">
        <f t="shared" si="11"/>
        <v>20276659.690000005</v>
      </c>
      <c r="H103" s="25">
        <f t="shared" si="10"/>
        <v>0</v>
      </c>
      <c r="I103" s="25"/>
      <c r="J103" s="16"/>
      <c r="K103" s="16"/>
      <c r="L103" s="16"/>
      <c r="M103" s="16"/>
      <c r="N103" s="16"/>
      <c r="O103" s="16"/>
      <c r="P103" s="16"/>
      <c r="Q103" s="16"/>
      <c r="R103" s="16"/>
      <c r="S103" s="16">
        <f>-F103</f>
        <v>-105</v>
      </c>
      <c r="T103" s="16"/>
      <c r="U103" s="16"/>
      <c r="V103" s="16"/>
      <c r="W103" s="16"/>
      <c r="X103" s="16"/>
      <c r="Y103" s="16"/>
      <c r="Z103" s="16"/>
      <c r="AA103" s="16"/>
    </row>
    <row r="104" spans="1:27" x14ac:dyDescent="0.3">
      <c r="A104" s="23">
        <v>45168</v>
      </c>
      <c r="B104" s="23" t="s">
        <v>113</v>
      </c>
      <c r="C104" s="23" t="s">
        <v>114</v>
      </c>
      <c r="D104" s="7" t="s">
        <v>316</v>
      </c>
      <c r="E104" s="16"/>
      <c r="F104" s="16">
        <v>2562.5</v>
      </c>
      <c r="G104" s="33">
        <f t="shared" si="11"/>
        <v>20274097.190000005</v>
      </c>
      <c r="H104" s="25">
        <f t="shared" si="10"/>
        <v>0</v>
      </c>
      <c r="I104" s="25"/>
      <c r="J104" s="16"/>
      <c r="K104" s="16"/>
      <c r="L104" s="16"/>
      <c r="M104" s="16">
        <f>-F104</f>
        <v>-2562.5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x14ac:dyDescent="0.3">
      <c r="A105" s="23">
        <v>45168</v>
      </c>
      <c r="B105" s="23">
        <v>61</v>
      </c>
      <c r="C105" s="23" t="s">
        <v>23</v>
      </c>
      <c r="D105" s="7" t="s">
        <v>115</v>
      </c>
      <c r="E105" s="16"/>
      <c r="F105" s="16">
        <v>80062.5</v>
      </c>
      <c r="G105" s="33">
        <f t="shared" si="11"/>
        <v>20194034.690000005</v>
      </c>
      <c r="H105" s="25">
        <f t="shared" si="10"/>
        <v>0</v>
      </c>
      <c r="I105" s="2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>
        <f>-F105</f>
        <v>-80062.5</v>
      </c>
      <c r="U105" s="16"/>
      <c r="V105" s="16"/>
      <c r="W105" s="16"/>
      <c r="X105" s="16"/>
      <c r="Y105" s="16"/>
      <c r="Z105" s="16"/>
      <c r="AA105" s="16"/>
    </row>
    <row r="106" spans="1:27" x14ac:dyDescent="0.3">
      <c r="A106" s="23">
        <v>45168</v>
      </c>
      <c r="B106" s="23">
        <v>61</v>
      </c>
      <c r="C106" s="23" t="s">
        <v>23</v>
      </c>
      <c r="D106" s="7" t="s">
        <v>116</v>
      </c>
      <c r="E106" s="16"/>
      <c r="F106" s="16">
        <v>26.25</v>
      </c>
      <c r="G106" s="33">
        <f t="shared" si="11"/>
        <v>20194008.440000005</v>
      </c>
      <c r="H106" s="25">
        <f t="shared" si="10"/>
        <v>0</v>
      </c>
      <c r="I106" s="25"/>
      <c r="J106" s="16"/>
      <c r="K106" s="16"/>
      <c r="L106" s="16"/>
      <c r="M106" s="16"/>
      <c r="N106" s="16"/>
      <c r="O106" s="16"/>
      <c r="P106" s="16"/>
      <c r="Q106" s="16"/>
      <c r="R106" s="16"/>
      <c r="S106" s="16">
        <f>-F106</f>
        <v>-26.25</v>
      </c>
      <c r="T106" s="16"/>
      <c r="U106" s="16"/>
      <c r="V106" s="16"/>
      <c r="W106" s="16"/>
      <c r="X106" s="16"/>
      <c r="Y106" s="16"/>
      <c r="Z106" s="16"/>
      <c r="AA106" s="16"/>
    </row>
    <row r="107" spans="1:27" ht="43.2" x14ac:dyDescent="0.3">
      <c r="A107" s="23">
        <v>45168</v>
      </c>
      <c r="B107" s="23">
        <v>782368</v>
      </c>
      <c r="C107" s="23" t="s">
        <v>23</v>
      </c>
      <c r="D107" s="7" t="s">
        <v>317</v>
      </c>
      <c r="E107" s="16"/>
      <c r="F107" s="16">
        <v>14000</v>
      </c>
      <c r="G107" s="33">
        <f t="shared" si="11"/>
        <v>20180008.440000005</v>
      </c>
      <c r="H107" s="25">
        <f t="shared" si="10"/>
        <v>0</v>
      </c>
      <c r="I107" s="25"/>
      <c r="J107" s="16"/>
      <c r="K107" s="16"/>
      <c r="L107" s="16"/>
      <c r="M107" s="16"/>
      <c r="N107" s="16"/>
      <c r="O107" s="16"/>
      <c r="P107" s="16"/>
      <c r="Q107" s="16">
        <f>-F107</f>
        <v>-14000</v>
      </c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x14ac:dyDescent="0.3">
      <c r="A108" s="23">
        <v>45168</v>
      </c>
      <c r="B108" s="23">
        <v>782368</v>
      </c>
      <c r="C108" s="23" t="s">
        <v>23</v>
      </c>
      <c r="D108" s="7" t="s">
        <v>251</v>
      </c>
      <c r="E108" s="16"/>
      <c r="F108" s="16">
        <v>26.25</v>
      </c>
      <c r="G108" s="33">
        <f t="shared" si="11"/>
        <v>20179982.190000005</v>
      </c>
      <c r="H108" s="25">
        <f t="shared" si="10"/>
        <v>0</v>
      </c>
      <c r="I108" s="25"/>
      <c r="J108" s="16"/>
      <c r="K108" s="16"/>
      <c r="L108" s="16"/>
      <c r="M108" s="16"/>
      <c r="N108" s="16"/>
      <c r="O108" s="16"/>
      <c r="P108" s="16"/>
      <c r="Q108" s="16"/>
      <c r="R108" s="16"/>
      <c r="S108" s="16">
        <f>-F108</f>
        <v>-26.25</v>
      </c>
      <c r="T108" s="16"/>
      <c r="U108" s="16"/>
      <c r="V108" s="16"/>
      <c r="W108" s="16"/>
      <c r="X108" s="16"/>
      <c r="Y108" s="16"/>
      <c r="Z108" s="16"/>
      <c r="AA108" s="16"/>
    </row>
    <row r="109" spans="1:27" ht="28.8" x14ac:dyDescent="0.3">
      <c r="A109" s="23">
        <v>45168</v>
      </c>
      <c r="B109" s="23">
        <v>782370</v>
      </c>
      <c r="C109" s="23" t="s">
        <v>23</v>
      </c>
      <c r="D109" s="7" t="s">
        <v>318</v>
      </c>
      <c r="E109" s="16"/>
      <c r="F109" s="16">
        <v>160125</v>
      </c>
      <c r="G109" s="33">
        <f t="shared" si="11"/>
        <v>20019857.190000005</v>
      </c>
      <c r="H109" s="25">
        <f t="shared" si="10"/>
        <v>0</v>
      </c>
      <c r="I109" s="25"/>
      <c r="J109" s="16"/>
      <c r="K109" s="16"/>
      <c r="L109" s="16"/>
      <c r="M109" s="16"/>
      <c r="N109" s="16"/>
      <c r="O109" s="16"/>
      <c r="P109" s="16"/>
      <c r="Q109" s="16">
        <f>-F109</f>
        <v>-160125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x14ac:dyDescent="0.3">
      <c r="A110" s="23">
        <v>45168</v>
      </c>
      <c r="B110" s="23">
        <v>782370</v>
      </c>
      <c r="C110" s="23" t="s">
        <v>23</v>
      </c>
      <c r="D110" s="7" t="s">
        <v>251</v>
      </c>
      <c r="E110" s="16"/>
      <c r="F110" s="16">
        <v>26.25</v>
      </c>
      <c r="G110" s="33">
        <f t="shared" si="11"/>
        <v>20019830.940000005</v>
      </c>
      <c r="H110" s="25">
        <f t="shared" si="10"/>
        <v>0</v>
      </c>
      <c r="I110" s="25"/>
      <c r="J110" s="16"/>
      <c r="K110" s="16"/>
      <c r="L110" s="16"/>
      <c r="M110" s="16"/>
      <c r="N110" s="16"/>
      <c r="O110" s="16"/>
      <c r="P110" s="16"/>
      <c r="Q110" s="16"/>
      <c r="R110" s="16"/>
      <c r="S110" s="16">
        <f>-F110</f>
        <v>-26.25</v>
      </c>
      <c r="T110" s="16"/>
      <c r="U110" s="16"/>
      <c r="V110" s="16"/>
      <c r="W110" s="16"/>
      <c r="X110" s="16"/>
      <c r="Y110" s="16"/>
      <c r="Z110" s="16"/>
      <c r="AA110" s="16"/>
    </row>
    <row r="111" spans="1:27" ht="28.8" x14ac:dyDescent="0.3">
      <c r="A111" s="23">
        <v>45168</v>
      </c>
      <c r="B111" s="23">
        <v>782367</v>
      </c>
      <c r="C111" s="23" t="s">
        <v>23</v>
      </c>
      <c r="D111" s="7" t="s">
        <v>319</v>
      </c>
      <c r="E111" s="16"/>
      <c r="F111" s="16">
        <v>610430</v>
      </c>
      <c r="G111" s="33">
        <f t="shared" si="11"/>
        <v>19409400.940000005</v>
      </c>
      <c r="H111" s="25">
        <f t="shared" si="10"/>
        <v>0</v>
      </c>
      <c r="I111" s="25"/>
      <c r="J111" s="16"/>
      <c r="K111" s="16"/>
      <c r="L111" s="16"/>
      <c r="M111" s="16"/>
      <c r="N111" s="16"/>
      <c r="O111" s="16"/>
      <c r="P111" s="16"/>
      <c r="Q111" s="16">
        <f>-F111</f>
        <v>-610430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x14ac:dyDescent="0.3">
      <c r="A112" s="23">
        <v>45168</v>
      </c>
      <c r="B112" s="23">
        <v>782367</v>
      </c>
      <c r="C112" s="23" t="s">
        <v>23</v>
      </c>
      <c r="D112" s="7" t="s">
        <v>251</v>
      </c>
      <c r="E112" s="16"/>
      <c r="F112" s="16">
        <v>26.25</v>
      </c>
      <c r="G112" s="33">
        <f t="shared" si="11"/>
        <v>19409374.690000005</v>
      </c>
      <c r="H112" s="25">
        <f t="shared" si="10"/>
        <v>0</v>
      </c>
      <c r="I112" s="25"/>
      <c r="J112" s="16"/>
      <c r="K112" s="16"/>
      <c r="L112" s="16"/>
      <c r="M112" s="16"/>
      <c r="N112" s="16"/>
      <c r="O112" s="16"/>
      <c r="P112" s="16"/>
      <c r="Q112" s="16"/>
      <c r="R112" s="16"/>
      <c r="S112" s="16">
        <f>-F112</f>
        <v>-26.25</v>
      </c>
      <c r="T112" s="16"/>
      <c r="U112" s="16"/>
      <c r="V112" s="16"/>
      <c r="W112" s="16"/>
      <c r="X112" s="16"/>
      <c r="Y112" s="16"/>
      <c r="Z112" s="16"/>
      <c r="AA112" s="16"/>
    </row>
    <row r="113" spans="1:28" ht="43.2" x14ac:dyDescent="0.3">
      <c r="A113" s="23">
        <v>45168</v>
      </c>
      <c r="B113" s="23">
        <v>782369</v>
      </c>
      <c r="C113" s="23" t="s">
        <v>23</v>
      </c>
      <c r="D113" s="7" t="s">
        <v>320</v>
      </c>
      <c r="E113" s="16"/>
      <c r="F113" s="16">
        <v>15250000</v>
      </c>
      <c r="G113" s="33">
        <f t="shared" si="11"/>
        <v>4159374.6900000051</v>
      </c>
      <c r="H113" s="25">
        <f t="shared" si="10"/>
        <v>0</v>
      </c>
      <c r="I113" s="25"/>
      <c r="J113" s="16"/>
      <c r="K113" s="16"/>
      <c r="L113" s="16"/>
      <c r="M113" s="16"/>
      <c r="N113" s="16"/>
      <c r="O113" s="16"/>
      <c r="P113" s="16"/>
      <c r="Q113" s="16">
        <f>-F113</f>
        <v>-15250000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8" x14ac:dyDescent="0.3">
      <c r="A114" s="23">
        <v>45168</v>
      </c>
      <c r="B114" s="23">
        <v>782369</v>
      </c>
      <c r="C114" s="23" t="s">
        <v>23</v>
      </c>
      <c r="D114" s="7" t="s">
        <v>251</v>
      </c>
      <c r="E114" s="16"/>
      <c r="F114" s="16">
        <v>26.25</v>
      </c>
      <c r="G114" s="33">
        <f t="shared" si="11"/>
        <v>4159348.4400000051</v>
      </c>
      <c r="H114" s="25">
        <f t="shared" si="10"/>
        <v>0</v>
      </c>
      <c r="I114" s="25"/>
      <c r="J114" s="16"/>
      <c r="K114" s="16"/>
      <c r="L114" s="16"/>
      <c r="M114" s="16"/>
      <c r="N114" s="16"/>
      <c r="O114" s="16"/>
      <c r="P114" s="16"/>
      <c r="Q114" s="16"/>
      <c r="R114" s="16"/>
      <c r="S114" s="16">
        <f>-F114</f>
        <v>-26.25</v>
      </c>
      <c r="T114" s="16"/>
      <c r="U114" s="16"/>
      <c r="V114" s="16"/>
      <c r="W114" s="16"/>
      <c r="X114" s="16"/>
      <c r="Y114" s="16"/>
      <c r="Z114" s="16"/>
      <c r="AA114" s="16"/>
    </row>
    <row r="115" spans="1:28" ht="28.8" x14ac:dyDescent="0.3">
      <c r="A115" s="23">
        <v>45168</v>
      </c>
      <c r="B115" s="23">
        <v>782371</v>
      </c>
      <c r="C115" s="23" t="s">
        <v>23</v>
      </c>
      <c r="D115" s="7" t="s">
        <v>321</v>
      </c>
      <c r="E115" s="16"/>
      <c r="F115" s="16">
        <v>250000</v>
      </c>
      <c r="G115" s="33">
        <f t="shared" si="11"/>
        <v>3909348.4400000051</v>
      </c>
      <c r="H115" s="25">
        <f t="shared" si="10"/>
        <v>0</v>
      </c>
      <c r="I115" s="25"/>
      <c r="J115" s="16"/>
      <c r="K115" s="16"/>
      <c r="L115" s="16"/>
      <c r="M115" s="16"/>
      <c r="N115" s="16"/>
      <c r="O115" s="16"/>
      <c r="P115" s="16"/>
      <c r="Q115" s="16">
        <f>-F115</f>
        <v>-250000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8" x14ac:dyDescent="0.3">
      <c r="A116" s="23">
        <v>45168</v>
      </c>
      <c r="B116" s="23">
        <v>782371</v>
      </c>
      <c r="C116" s="23" t="s">
        <v>23</v>
      </c>
      <c r="D116" s="7" t="s">
        <v>251</v>
      </c>
      <c r="E116" s="16"/>
      <c r="F116" s="16">
        <v>26.25</v>
      </c>
      <c r="G116" s="33">
        <f t="shared" si="11"/>
        <v>3909322.1900000051</v>
      </c>
      <c r="H116" s="25">
        <f t="shared" si="10"/>
        <v>0</v>
      </c>
      <c r="I116" s="25"/>
      <c r="J116" s="16"/>
      <c r="K116" s="16"/>
      <c r="L116" s="16"/>
      <c r="M116" s="16"/>
      <c r="N116" s="16"/>
      <c r="O116" s="16"/>
      <c r="P116" s="16"/>
      <c r="Q116" s="16"/>
      <c r="R116" s="16"/>
      <c r="S116" s="16">
        <f>-F116</f>
        <v>-26.25</v>
      </c>
      <c r="T116" s="16"/>
      <c r="U116" s="16"/>
      <c r="V116" s="16"/>
      <c r="W116" s="16"/>
      <c r="X116" s="16"/>
      <c r="Y116" s="16"/>
      <c r="Z116" s="16"/>
      <c r="AA116" s="16"/>
    </row>
    <row r="117" spans="1:28" ht="28.8" x14ac:dyDescent="0.3">
      <c r="A117" s="23">
        <v>45169</v>
      </c>
      <c r="B117" s="23" t="s">
        <v>117</v>
      </c>
      <c r="C117" s="23" t="s">
        <v>23</v>
      </c>
      <c r="D117" s="7" t="s">
        <v>322</v>
      </c>
      <c r="E117" s="16">
        <v>130625</v>
      </c>
      <c r="F117" s="16"/>
      <c r="G117" s="33">
        <f t="shared" si="11"/>
        <v>4039947.1900000051</v>
      </c>
      <c r="H117" s="25">
        <f t="shared" si="10"/>
        <v>0</v>
      </c>
      <c r="I117" s="25"/>
      <c r="J117" s="16"/>
      <c r="K117" s="16"/>
      <c r="L117" s="16"/>
      <c r="M117" s="16"/>
      <c r="N117" s="16">
        <f>E117</f>
        <v>130625</v>
      </c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8" ht="28.8" x14ac:dyDescent="0.3">
      <c r="A118" s="23">
        <v>45169</v>
      </c>
      <c r="B118" s="23" t="s">
        <v>118</v>
      </c>
      <c r="C118" s="23" t="s">
        <v>23</v>
      </c>
      <c r="D118" s="7" t="s">
        <v>323</v>
      </c>
      <c r="E118" s="16">
        <v>33000000</v>
      </c>
      <c r="F118" s="16"/>
      <c r="G118" s="33">
        <f t="shared" si="11"/>
        <v>37039947.190000005</v>
      </c>
      <c r="H118" s="25">
        <f t="shared" si="10"/>
        <v>0</v>
      </c>
      <c r="I118" s="25"/>
      <c r="J118" s="16"/>
      <c r="K118" s="16"/>
      <c r="L118" s="16"/>
      <c r="M118" s="16"/>
      <c r="N118" s="16"/>
      <c r="O118" s="16"/>
      <c r="P118" s="16">
        <f>E118</f>
        <v>33000000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" t="s">
        <v>400</v>
      </c>
    </row>
    <row r="119" spans="1:28" x14ac:dyDescent="0.3">
      <c r="A119" s="6">
        <v>45170</v>
      </c>
      <c r="B119" s="23" t="s">
        <v>119</v>
      </c>
      <c r="C119" s="23" t="s">
        <v>120</v>
      </c>
      <c r="D119" s="5" t="s">
        <v>324</v>
      </c>
      <c r="E119" s="16"/>
      <c r="F119" s="16">
        <v>231097.95</v>
      </c>
      <c r="G119" s="33">
        <f t="shared" si="11"/>
        <v>36808849.240000002</v>
      </c>
      <c r="H119" s="27">
        <f t="shared" si="10"/>
        <v>0</v>
      </c>
      <c r="I119" s="37" t="s">
        <v>393</v>
      </c>
      <c r="J119" s="16"/>
      <c r="K119" s="16"/>
      <c r="L119" s="16">
        <f>-F119</f>
        <v>-231097.95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8" x14ac:dyDescent="0.3">
      <c r="A120" s="23">
        <v>45171</v>
      </c>
      <c r="B120" s="23" t="s">
        <v>121</v>
      </c>
      <c r="C120" s="23" t="s">
        <v>122</v>
      </c>
      <c r="D120" s="7" t="s">
        <v>325</v>
      </c>
      <c r="E120" s="16"/>
      <c r="F120" s="16">
        <v>126000</v>
      </c>
      <c r="G120" s="33">
        <f t="shared" si="11"/>
        <v>36682849.240000002</v>
      </c>
      <c r="H120" s="25">
        <f t="shared" si="10"/>
        <v>0</v>
      </c>
      <c r="I120" s="25"/>
      <c r="J120" s="16"/>
      <c r="K120" s="16"/>
      <c r="L120" s="16"/>
      <c r="M120" s="16">
        <f t="shared" ref="M120:M127" si="14">-F120</f>
        <v>-126000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8" x14ac:dyDescent="0.3">
      <c r="A121" s="23">
        <v>45178</v>
      </c>
      <c r="B121" s="23" t="s">
        <v>123</v>
      </c>
      <c r="C121" s="23" t="s">
        <v>124</v>
      </c>
      <c r="D121" s="7" t="s">
        <v>326</v>
      </c>
      <c r="E121" s="16"/>
      <c r="F121" s="16">
        <v>62498.54</v>
      </c>
      <c r="G121" s="33">
        <f t="shared" si="11"/>
        <v>36620350.700000003</v>
      </c>
      <c r="H121" s="25">
        <f t="shared" si="10"/>
        <v>0</v>
      </c>
      <c r="I121" s="25"/>
      <c r="J121" s="16"/>
      <c r="K121" s="16"/>
      <c r="L121" s="16"/>
      <c r="M121" s="16">
        <f t="shared" si="14"/>
        <v>-62498.54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8" x14ac:dyDescent="0.3">
      <c r="A122" s="23">
        <v>45183</v>
      </c>
      <c r="B122" s="23" t="s">
        <v>125</v>
      </c>
      <c r="C122" s="23" t="s">
        <v>126</v>
      </c>
      <c r="D122" s="7" t="s">
        <v>327</v>
      </c>
      <c r="E122" s="16"/>
      <c r="F122" s="16">
        <v>21019.03</v>
      </c>
      <c r="G122" s="33">
        <f t="shared" si="11"/>
        <v>36599331.670000002</v>
      </c>
      <c r="H122" s="25">
        <f t="shared" si="10"/>
        <v>0</v>
      </c>
      <c r="I122" s="25"/>
      <c r="J122" s="16"/>
      <c r="K122" s="16"/>
      <c r="L122" s="16"/>
      <c r="M122" s="16">
        <f t="shared" si="14"/>
        <v>-21019.03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8" x14ac:dyDescent="0.3">
      <c r="A123" s="23">
        <v>45185</v>
      </c>
      <c r="B123" s="23" t="s">
        <v>127</v>
      </c>
      <c r="C123" s="23" t="s">
        <v>128</v>
      </c>
      <c r="D123" s="7" t="s">
        <v>328</v>
      </c>
      <c r="E123" s="16"/>
      <c r="F123" s="16">
        <v>121158</v>
      </c>
      <c r="G123" s="33">
        <f t="shared" si="11"/>
        <v>36478173.670000002</v>
      </c>
      <c r="H123" s="25">
        <f t="shared" si="10"/>
        <v>0</v>
      </c>
      <c r="I123" s="25"/>
      <c r="J123" s="16"/>
      <c r="K123" s="16"/>
      <c r="L123" s="16"/>
      <c r="M123" s="16">
        <f t="shared" si="14"/>
        <v>-121158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8" x14ac:dyDescent="0.3">
      <c r="A124" s="23">
        <v>45185</v>
      </c>
      <c r="B124" s="23" t="s">
        <v>129</v>
      </c>
      <c r="C124" s="23" t="s">
        <v>130</v>
      </c>
      <c r="D124" s="7" t="s">
        <v>329</v>
      </c>
      <c r="E124" s="16"/>
      <c r="F124" s="16">
        <v>39102</v>
      </c>
      <c r="G124" s="33">
        <f t="shared" si="11"/>
        <v>36439071.670000002</v>
      </c>
      <c r="H124" s="25">
        <f t="shared" si="10"/>
        <v>0</v>
      </c>
      <c r="I124" s="25"/>
      <c r="J124" s="16"/>
      <c r="K124" s="16"/>
      <c r="L124" s="16"/>
      <c r="M124" s="16">
        <f t="shared" si="14"/>
        <v>-39102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8" x14ac:dyDescent="0.3">
      <c r="A125" s="23">
        <v>45188</v>
      </c>
      <c r="B125" s="23" t="s">
        <v>131</v>
      </c>
      <c r="C125" s="23" t="s">
        <v>105</v>
      </c>
      <c r="D125" s="7" t="s">
        <v>330</v>
      </c>
      <c r="E125" s="16"/>
      <c r="F125" s="16">
        <v>639.5</v>
      </c>
      <c r="G125" s="33">
        <f t="shared" si="11"/>
        <v>36438432.170000002</v>
      </c>
      <c r="H125" s="25">
        <f t="shared" si="10"/>
        <v>0</v>
      </c>
      <c r="I125" s="25"/>
      <c r="J125" s="16"/>
      <c r="K125" s="16"/>
      <c r="L125" s="16"/>
      <c r="M125" s="16">
        <f t="shared" si="14"/>
        <v>-639.5</v>
      </c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8" ht="28.8" x14ac:dyDescent="0.3">
      <c r="A126" s="23">
        <v>45188</v>
      </c>
      <c r="B126" s="23" t="s">
        <v>132</v>
      </c>
      <c r="C126" s="23" t="s">
        <v>133</v>
      </c>
      <c r="D126" s="7" t="s">
        <v>331</v>
      </c>
      <c r="E126" s="16"/>
      <c r="F126" s="16">
        <v>23950</v>
      </c>
      <c r="G126" s="33">
        <f t="shared" si="11"/>
        <v>36414482.170000002</v>
      </c>
      <c r="H126" s="25">
        <f t="shared" si="10"/>
        <v>0</v>
      </c>
      <c r="I126" s="25"/>
      <c r="J126" s="16"/>
      <c r="K126" s="16"/>
      <c r="L126" s="16"/>
      <c r="M126" s="16">
        <f t="shared" si="14"/>
        <v>-23950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8" ht="28.8" x14ac:dyDescent="0.3">
      <c r="A127" s="23">
        <v>45188</v>
      </c>
      <c r="B127" s="23" t="s">
        <v>134</v>
      </c>
      <c r="C127" s="23" t="s">
        <v>135</v>
      </c>
      <c r="D127" s="7" t="s">
        <v>332</v>
      </c>
      <c r="E127" s="16"/>
      <c r="F127" s="16">
        <v>2886.49</v>
      </c>
      <c r="G127" s="33">
        <f t="shared" si="11"/>
        <v>36411595.68</v>
      </c>
      <c r="H127" s="25">
        <f t="shared" si="10"/>
        <v>0</v>
      </c>
      <c r="I127" s="25"/>
      <c r="J127" s="16"/>
      <c r="K127" s="16"/>
      <c r="L127" s="16"/>
      <c r="M127" s="16">
        <f t="shared" si="14"/>
        <v>-2886.49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8" ht="28.8" x14ac:dyDescent="0.3">
      <c r="A128" s="23">
        <v>45188</v>
      </c>
      <c r="B128" s="23" t="s">
        <v>136</v>
      </c>
      <c r="C128" s="23" t="s">
        <v>23</v>
      </c>
      <c r="D128" s="7" t="s">
        <v>333</v>
      </c>
      <c r="E128" s="16"/>
      <c r="F128" s="16">
        <v>31000000</v>
      </c>
      <c r="G128" s="33">
        <f t="shared" si="11"/>
        <v>5411595.6799999997</v>
      </c>
      <c r="H128" s="25">
        <f t="shared" si="10"/>
        <v>0</v>
      </c>
      <c r="I128" s="25"/>
      <c r="J128" s="16"/>
      <c r="K128" s="16"/>
      <c r="L128" s="16"/>
      <c r="M128" s="16"/>
      <c r="N128" s="16"/>
      <c r="O128" s="16"/>
      <c r="P128" s="16">
        <f>-F128</f>
        <v>-31000000</v>
      </c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x14ac:dyDescent="0.3">
      <c r="A129" s="23">
        <v>45190</v>
      </c>
      <c r="B129" s="23">
        <v>62</v>
      </c>
      <c r="C129" s="23" t="s">
        <v>23</v>
      </c>
      <c r="D129" s="7" t="s">
        <v>137</v>
      </c>
      <c r="E129" s="16"/>
      <c r="F129" s="16">
        <v>80062.5</v>
      </c>
      <c r="G129" s="33">
        <f t="shared" si="11"/>
        <v>5331533.18</v>
      </c>
      <c r="H129" s="25">
        <f t="shared" si="10"/>
        <v>0</v>
      </c>
      <c r="I129" s="2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>
        <f>-F129</f>
        <v>-80062.5</v>
      </c>
      <c r="U129" s="16"/>
      <c r="V129" s="16"/>
      <c r="W129" s="16"/>
      <c r="X129" s="16"/>
      <c r="Y129" s="16"/>
      <c r="Z129" s="16"/>
      <c r="AA129" s="16"/>
    </row>
    <row r="130" spans="1:27" x14ac:dyDescent="0.3">
      <c r="A130" s="23">
        <v>45190</v>
      </c>
      <c r="B130" s="23">
        <v>62</v>
      </c>
      <c r="C130" s="23" t="s">
        <v>23</v>
      </c>
      <c r="D130" s="7" t="s">
        <v>116</v>
      </c>
      <c r="E130" s="16"/>
      <c r="F130" s="16">
        <v>26.25</v>
      </c>
      <c r="G130" s="33">
        <f t="shared" si="11"/>
        <v>5331506.93</v>
      </c>
      <c r="H130" s="25">
        <f t="shared" si="10"/>
        <v>0</v>
      </c>
      <c r="I130" s="25"/>
      <c r="J130" s="16"/>
      <c r="K130" s="16"/>
      <c r="L130" s="16"/>
      <c r="M130" s="16"/>
      <c r="N130" s="16"/>
      <c r="O130" s="16"/>
      <c r="P130" s="16"/>
      <c r="Q130" s="16"/>
      <c r="R130" s="16"/>
      <c r="S130" s="16">
        <f t="shared" ref="S130:S131" si="15">-F130</f>
        <v>-26.25</v>
      </c>
      <c r="T130" s="16"/>
      <c r="U130" s="16"/>
      <c r="V130" s="16"/>
      <c r="W130" s="16"/>
      <c r="X130" s="16"/>
      <c r="Y130" s="16"/>
      <c r="Z130" s="16"/>
      <c r="AA130" s="16"/>
    </row>
    <row r="131" spans="1:27" ht="28.8" x14ac:dyDescent="0.3">
      <c r="A131" s="23">
        <v>45195</v>
      </c>
      <c r="B131" s="23" t="s">
        <v>138</v>
      </c>
      <c r="C131" s="23" t="s">
        <v>23</v>
      </c>
      <c r="D131" s="7" t="s">
        <v>249</v>
      </c>
      <c r="E131" s="16"/>
      <c r="F131" s="16">
        <v>105</v>
      </c>
      <c r="G131" s="33">
        <f t="shared" si="11"/>
        <v>5331401.93</v>
      </c>
      <c r="H131" s="25">
        <f t="shared" si="10"/>
        <v>0</v>
      </c>
      <c r="I131" s="25"/>
      <c r="J131" s="16"/>
      <c r="K131" s="16"/>
      <c r="L131" s="16"/>
      <c r="M131" s="16"/>
      <c r="N131" s="16"/>
      <c r="O131" s="16"/>
      <c r="P131" s="16"/>
      <c r="Q131" s="16"/>
      <c r="R131" s="16"/>
      <c r="S131" s="16">
        <f t="shared" si="15"/>
        <v>-105</v>
      </c>
      <c r="T131" s="16"/>
      <c r="U131" s="16"/>
      <c r="V131" s="16"/>
      <c r="W131" s="16"/>
      <c r="X131" s="16"/>
      <c r="Y131" s="16"/>
      <c r="Z131" s="16"/>
      <c r="AA131" s="16"/>
    </row>
    <row r="132" spans="1:27" x14ac:dyDescent="0.3">
      <c r="A132" s="23">
        <v>45195</v>
      </c>
      <c r="B132" s="23" t="s">
        <v>139</v>
      </c>
      <c r="C132" s="23">
        <v>36408</v>
      </c>
      <c r="D132" s="7" t="s">
        <v>334</v>
      </c>
      <c r="E132" s="16"/>
      <c r="F132" s="16">
        <v>48545.279999999999</v>
      </c>
      <c r="G132" s="33">
        <f t="shared" si="11"/>
        <v>5282856.6499999994</v>
      </c>
      <c r="H132" s="25">
        <f t="shared" si="10"/>
        <v>0</v>
      </c>
      <c r="I132" s="38" t="s">
        <v>396</v>
      </c>
      <c r="J132" s="16"/>
      <c r="K132" s="16"/>
      <c r="L132" s="16">
        <f>-F132</f>
        <v>-48545.279999999999</v>
      </c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x14ac:dyDescent="0.3">
      <c r="A133" s="23">
        <v>45195</v>
      </c>
      <c r="B133" s="23" t="s">
        <v>140</v>
      </c>
      <c r="C133" s="23" t="s">
        <v>141</v>
      </c>
      <c r="D133" s="7" t="s">
        <v>335</v>
      </c>
      <c r="E133" s="16"/>
      <c r="F133" s="16">
        <v>12290.12</v>
      </c>
      <c r="G133" s="33">
        <f t="shared" si="11"/>
        <v>5270566.5299999993</v>
      </c>
      <c r="H133" s="25">
        <f t="shared" si="10"/>
        <v>0</v>
      </c>
      <c r="I133" s="25"/>
      <c r="J133" s="16"/>
      <c r="K133" s="16"/>
      <c r="L133" s="16"/>
      <c r="M133" s="16">
        <f t="shared" ref="M133:M134" si="16">-F133</f>
        <v>-12290.12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x14ac:dyDescent="0.3">
      <c r="A134" s="23">
        <v>45195</v>
      </c>
      <c r="B134" s="23" t="s">
        <v>142</v>
      </c>
      <c r="C134" s="23" t="s">
        <v>143</v>
      </c>
      <c r="D134" s="7" t="s">
        <v>336</v>
      </c>
      <c r="E134" s="16"/>
      <c r="F134" s="16">
        <v>3710</v>
      </c>
      <c r="G134" s="33">
        <f t="shared" si="11"/>
        <v>5266856.5299999993</v>
      </c>
      <c r="H134" s="25">
        <f t="shared" si="10"/>
        <v>0</v>
      </c>
      <c r="I134" s="25"/>
      <c r="J134" s="16"/>
      <c r="K134" s="16"/>
      <c r="L134" s="16"/>
      <c r="M134" s="16">
        <f t="shared" si="16"/>
        <v>-3710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28.8" x14ac:dyDescent="0.3">
      <c r="A135" s="23">
        <v>45196</v>
      </c>
      <c r="B135" s="23">
        <v>782538</v>
      </c>
      <c r="C135" s="23" t="s">
        <v>23</v>
      </c>
      <c r="D135" s="7" t="s">
        <v>337</v>
      </c>
      <c r="E135" s="16"/>
      <c r="F135" s="16">
        <v>2300000</v>
      </c>
      <c r="G135" s="33">
        <f t="shared" si="11"/>
        <v>2966856.5299999993</v>
      </c>
      <c r="H135" s="25">
        <f t="shared" ref="H135:H198" si="17">E135-F135-SUM(J135:AI135)</f>
        <v>0</v>
      </c>
      <c r="I135" s="25"/>
      <c r="J135" s="16"/>
      <c r="K135" s="16"/>
      <c r="L135" s="16"/>
      <c r="M135" s="16"/>
      <c r="N135" s="16"/>
      <c r="O135" s="16"/>
      <c r="P135" s="16"/>
      <c r="Q135" s="16">
        <f>-F135</f>
        <v>-2300000</v>
      </c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x14ac:dyDescent="0.3">
      <c r="A136" s="23">
        <v>45196</v>
      </c>
      <c r="B136" s="23">
        <v>782538</v>
      </c>
      <c r="C136" s="23" t="s">
        <v>23</v>
      </c>
      <c r="D136" s="7" t="s">
        <v>251</v>
      </c>
      <c r="E136" s="16"/>
      <c r="F136" s="16">
        <v>26.25</v>
      </c>
      <c r="G136" s="33">
        <f t="shared" si="11"/>
        <v>2966830.2799999993</v>
      </c>
      <c r="H136" s="25">
        <f t="shared" si="17"/>
        <v>0</v>
      </c>
      <c r="I136" s="25"/>
      <c r="J136" s="16"/>
      <c r="K136" s="16"/>
      <c r="L136" s="16"/>
      <c r="M136" s="16"/>
      <c r="N136" s="16"/>
      <c r="O136" s="16"/>
      <c r="P136" s="16"/>
      <c r="Q136" s="16"/>
      <c r="R136" s="16"/>
      <c r="S136" s="16">
        <f>-F136</f>
        <v>-26.25</v>
      </c>
      <c r="T136" s="16"/>
      <c r="U136" s="16"/>
      <c r="V136" s="16"/>
      <c r="W136" s="16"/>
      <c r="X136" s="16"/>
      <c r="Y136" s="16"/>
      <c r="Z136" s="16"/>
      <c r="AA136" s="16"/>
    </row>
    <row r="137" spans="1:27" x14ac:dyDescent="0.3">
      <c r="A137" s="23">
        <v>45196</v>
      </c>
      <c r="B137" s="23" t="s">
        <v>144</v>
      </c>
      <c r="C137" s="23" t="s">
        <v>145</v>
      </c>
      <c r="D137" s="7" t="s">
        <v>338</v>
      </c>
      <c r="E137" s="16"/>
      <c r="F137" s="16">
        <v>231888.25</v>
      </c>
      <c r="G137" s="33">
        <f t="shared" ref="G137:G200" si="18">G136+E137-F137</f>
        <v>2734942.0299999993</v>
      </c>
      <c r="H137" s="25">
        <f t="shared" si="17"/>
        <v>0</v>
      </c>
      <c r="I137" s="25"/>
      <c r="J137" s="16"/>
      <c r="K137" s="16"/>
      <c r="L137" s="16"/>
      <c r="M137" s="16">
        <f t="shared" ref="M137:M138" si="19">-F137</f>
        <v>-231888.25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x14ac:dyDescent="0.3">
      <c r="A138" s="23">
        <v>45196</v>
      </c>
      <c r="B138" s="23" t="s">
        <v>146</v>
      </c>
      <c r="C138" s="23" t="s">
        <v>147</v>
      </c>
      <c r="D138" s="7" t="s">
        <v>339</v>
      </c>
      <c r="E138" s="16"/>
      <c r="F138" s="16">
        <v>32200</v>
      </c>
      <c r="G138" s="33">
        <f t="shared" si="18"/>
        <v>2702742.0299999993</v>
      </c>
      <c r="H138" s="25">
        <f t="shared" si="17"/>
        <v>0</v>
      </c>
      <c r="I138" s="25"/>
      <c r="J138" s="16"/>
      <c r="K138" s="16"/>
      <c r="L138" s="16"/>
      <c r="M138" s="16">
        <f t="shared" si="19"/>
        <v>-32200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28.8" x14ac:dyDescent="0.3">
      <c r="A139" s="23">
        <v>45197</v>
      </c>
      <c r="B139" s="23" t="s">
        <v>148</v>
      </c>
      <c r="C139" s="23" t="s">
        <v>23</v>
      </c>
      <c r="D139" s="7" t="s">
        <v>340</v>
      </c>
      <c r="E139" s="16">
        <v>31000000</v>
      </c>
      <c r="F139" s="16"/>
      <c r="G139" s="33">
        <f t="shared" si="18"/>
        <v>33702742.030000001</v>
      </c>
      <c r="H139" s="25">
        <f t="shared" si="17"/>
        <v>0</v>
      </c>
      <c r="I139" s="2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>
        <f>E139</f>
        <v>31000000</v>
      </c>
      <c r="Z139" s="16"/>
      <c r="AA139" s="16"/>
    </row>
    <row r="140" spans="1:27" x14ac:dyDescent="0.3">
      <c r="A140" s="23">
        <v>45197</v>
      </c>
      <c r="B140" s="23" t="s">
        <v>149</v>
      </c>
      <c r="C140" s="23" t="s">
        <v>150</v>
      </c>
      <c r="D140" s="7" t="s">
        <v>334</v>
      </c>
      <c r="E140" s="16"/>
      <c r="F140" s="16">
        <v>26388.92</v>
      </c>
      <c r="G140" s="33">
        <f t="shared" si="18"/>
        <v>33676353.109999999</v>
      </c>
      <c r="H140" s="25">
        <f t="shared" si="17"/>
        <v>0</v>
      </c>
      <c r="I140" s="38" t="s">
        <v>396</v>
      </c>
      <c r="J140" s="16"/>
      <c r="K140" s="16"/>
      <c r="L140" s="16">
        <f>-F140</f>
        <v>-26388.92</v>
      </c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28.8" x14ac:dyDescent="0.3">
      <c r="A141" s="23">
        <v>45201</v>
      </c>
      <c r="B141" s="23">
        <v>782551</v>
      </c>
      <c r="C141" s="23" t="s">
        <v>23</v>
      </c>
      <c r="D141" s="7" t="s">
        <v>341</v>
      </c>
      <c r="E141" s="16"/>
      <c r="F141" s="16">
        <v>15019132.869999999</v>
      </c>
      <c r="G141" s="33">
        <f t="shared" si="18"/>
        <v>18657220.240000002</v>
      </c>
      <c r="H141" s="25">
        <f t="shared" si="17"/>
        <v>0</v>
      </c>
      <c r="I141" s="25"/>
      <c r="J141" s="16"/>
      <c r="K141" s="16"/>
      <c r="L141" s="16"/>
      <c r="M141" s="16"/>
      <c r="N141" s="16"/>
      <c r="O141" s="16"/>
      <c r="P141" s="16"/>
      <c r="Q141" s="16">
        <f>-F141</f>
        <v>-15019132.869999999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x14ac:dyDescent="0.3">
      <c r="A142" s="23">
        <v>45201</v>
      </c>
      <c r="B142" s="23">
        <v>782551</v>
      </c>
      <c r="C142" s="23" t="s">
        <v>23</v>
      </c>
      <c r="D142" s="7" t="s">
        <v>251</v>
      </c>
      <c r="E142" s="16"/>
      <c r="F142" s="16">
        <v>26.25</v>
      </c>
      <c r="G142" s="33">
        <f t="shared" si="18"/>
        <v>18657193.990000002</v>
      </c>
      <c r="H142" s="25">
        <f t="shared" si="17"/>
        <v>0</v>
      </c>
      <c r="I142" s="25"/>
      <c r="J142" s="16"/>
      <c r="K142" s="16"/>
      <c r="L142" s="16"/>
      <c r="M142" s="16"/>
      <c r="N142" s="16"/>
      <c r="O142" s="16"/>
      <c r="P142" s="16"/>
      <c r="Q142" s="16"/>
      <c r="R142" s="16"/>
      <c r="S142" s="16">
        <f>-F142</f>
        <v>-26.25</v>
      </c>
      <c r="T142" s="16"/>
      <c r="U142" s="16"/>
      <c r="V142" s="16"/>
      <c r="W142" s="16"/>
      <c r="X142" s="16"/>
      <c r="Y142" s="16"/>
      <c r="Z142" s="16"/>
      <c r="AA142" s="16"/>
    </row>
    <row r="143" spans="1:27" ht="28.8" x14ac:dyDescent="0.3">
      <c r="A143" s="23">
        <v>45201</v>
      </c>
      <c r="B143" s="23">
        <v>782553</v>
      </c>
      <c r="C143" s="23" t="s">
        <v>23</v>
      </c>
      <c r="D143" s="7" t="s">
        <v>342</v>
      </c>
      <c r="E143" s="16"/>
      <c r="F143" s="16">
        <v>5680867.1299999999</v>
      </c>
      <c r="G143" s="33">
        <f t="shared" si="18"/>
        <v>12976326.860000003</v>
      </c>
      <c r="H143" s="25">
        <f t="shared" si="17"/>
        <v>0</v>
      </c>
      <c r="I143" s="25"/>
      <c r="J143" s="16"/>
      <c r="K143" s="16"/>
      <c r="L143" s="16"/>
      <c r="M143" s="16"/>
      <c r="N143" s="16"/>
      <c r="O143" s="16"/>
      <c r="P143" s="16"/>
      <c r="Q143" s="16">
        <f>-F143</f>
        <v>-5680867.1299999999</v>
      </c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x14ac:dyDescent="0.3">
      <c r="A144" s="23">
        <v>45201</v>
      </c>
      <c r="B144" s="23">
        <v>782553</v>
      </c>
      <c r="C144" s="23" t="s">
        <v>23</v>
      </c>
      <c r="D144" s="7" t="s">
        <v>251</v>
      </c>
      <c r="E144" s="16"/>
      <c r="F144" s="16">
        <v>26.25</v>
      </c>
      <c r="G144" s="33">
        <f t="shared" si="18"/>
        <v>12976300.610000003</v>
      </c>
      <c r="H144" s="25">
        <f t="shared" si="17"/>
        <v>0</v>
      </c>
      <c r="I144" s="25"/>
      <c r="J144" s="16"/>
      <c r="K144" s="16"/>
      <c r="L144" s="16"/>
      <c r="M144" s="16"/>
      <c r="N144" s="16"/>
      <c r="O144" s="16"/>
      <c r="P144" s="16"/>
      <c r="Q144" s="16"/>
      <c r="R144" s="16"/>
      <c r="S144" s="16">
        <f>-F144</f>
        <v>-26.25</v>
      </c>
      <c r="T144" s="16"/>
      <c r="U144" s="16"/>
      <c r="V144" s="16"/>
      <c r="W144" s="16"/>
      <c r="X144" s="16"/>
      <c r="Y144" s="16"/>
      <c r="Z144" s="16"/>
      <c r="AA144" s="16"/>
    </row>
    <row r="145" spans="1:27" ht="28.8" x14ac:dyDescent="0.3">
      <c r="A145" s="23">
        <v>45201</v>
      </c>
      <c r="B145" s="23">
        <v>782554</v>
      </c>
      <c r="C145" s="23" t="s">
        <v>23</v>
      </c>
      <c r="D145" s="7" t="s">
        <v>343</v>
      </c>
      <c r="E145" s="16"/>
      <c r="F145" s="16">
        <v>920580</v>
      </c>
      <c r="G145" s="33">
        <f t="shared" si="18"/>
        <v>12055720.610000003</v>
      </c>
      <c r="H145" s="25">
        <f t="shared" si="17"/>
        <v>0</v>
      </c>
      <c r="I145" s="25"/>
      <c r="J145" s="16"/>
      <c r="K145" s="16"/>
      <c r="L145" s="16"/>
      <c r="M145" s="16"/>
      <c r="N145" s="16"/>
      <c r="O145" s="16"/>
      <c r="P145" s="16"/>
      <c r="Q145" s="16">
        <f>-F145</f>
        <v>-920580</v>
      </c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x14ac:dyDescent="0.3">
      <c r="A146" s="23">
        <v>45201</v>
      </c>
      <c r="B146" s="23">
        <v>782554</v>
      </c>
      <c r="C146" s="23" t="s">
        <v>23</v>
      </c>
      <c r="D146" s="7" t="s">
        <v>251</v>
      </c>
      <c r="E146" s="16"/>
      <c r="F146" s="16">
        <v>26.25</v>
      </c>
      <c r="G146" s="33">
        <f t="shared" si="18"/>
        <v>12055694.360000003</v>
      </c>
      <c r="H146" s="25">
        <f t="shared" si="17"/>
        <v>0</v>
      </c>
      <c r="I146" s="25"/>
      <c r="J146" s="16"/>
      <c r="K146" s="16"/>
      <c r="L146" s="16"/>
      <c r="M146" s="16"/>
      <c r="N146" s="16"/>
      <c r="O146" s="16"/>
      <c r="P146" s="16"/>
      <c r="Q146" s="16"/>
      <c r="R146" s="16"/>
      <c r="S146" s="16">
        <f>-F146</f>
        <v>-26.25</v>
      </c>
      <c r="T146" s="16"/>
      <c r="U146" s="16"/>
      <c r="V146" s="16"/>
      <c r="W146" s="16"/>
      <c r="X146" s="16"/>
      <c r="Y146" s="16"/>
      <c r="Z146" s="16"/>
      <c r="AA146" s="16"/>
    </row>
    <row r="147" spans="1:27" ht="43.2" x14ac:dyDescent="0.3">
      <c r="A147" s="23">
        <v>45201</v>
      </c>
      <c r="B147" s="23">
        <v>782549</v>
      </c>
      <c r="C147" s="23" t="s">
        <v>23</v>
      </c>
      <c r="D147" s="7" t="s">
        <v>344</v>
      </c>
      <c r="E147" s="16"/>
      <c r="F147" s="16">
        <v>241500</v>
      </c>
      <c r="G147" s="33">
        <f t="shared" si="18"/>
        <v>11814194.360000003</v>
      </c>
      <c r="H147" s="25">
        <f t="shared" si="17"/>
        <v>0</v>
      </c>
      <c r="I147" s="25"/>
      <c r="J147" s="16"/>
      <c r="K147" s="16"/>
      <c r="L147" s="16"/>
      <c r="M147" s="16"/>
      <c r="N147" s="16"/>
      <c r="O147" s="16"/>
      <c r="P147" s="16"/>
      <c r="Q147" s="16">
        <f>-F147</f>
        <v>-241500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x14ac:dyDescent="0.3">
      <c r="A148" s="23">
        <v>45201</v>
      </c>
      <c r="B148" s="23">
        <v>782549</v>
      </c>
      <c r="C148" s="23" t="s">
        <v>23</v>
      </c>
      <c r="D148" s="7" t="s">
        <v>251</v>
      </c>
      <c r="E148" s="16"/>
      <c r="F148" s="16">
        <v>26.25</v>
      </c>
      <c r="G148" s="33">
        <f t="shared" si="18"/>
        <v>11814168.110000003</v>
      </c>
      <c r="H148" s="25">
        <f t="shared" si="17"/>
        <v>0</v>
      </c>
      <c r="I148" s="25"/>
      <c r="J148" s="16"/>
      <c r="K148" s="16"/>
      <c r="L148" s="16"/>
      <c r="M148" s="16"/>
      <c r="N148" s="16"/>
      <c r="O148" s="16"/>
      <c r="P148" s="16"/>
      <c r="Q148" s="16"/>
      <c r="R148" s="16"/>
      <c r="S148" s="16">
        <f>-F148</f>
        <v>-26.25</v>
      </c>
      <c r="T148" s="16"/>
      <c r="U148" s="16"/>
      <c r="V148" s="16"/>
      <c r="W148" s="16"/>
      <c r="X148" s="16"/>
      <c r="Y148" s="16"/>
      <c r="Z148" s="16"/>
      <c r="AA148" s="16"/>
    </row>
    <row r="149" spans="1:27" x14ac:dyDescent="0.3">
      <c r="A149" s="23">
        <v>45201</v>
      </c>
      <c r="B149" s="23">
        <v>66</v>
      </c>
      <c r="C149" s="23" t="s">
        <v>23</v>
      </c>
      <c r="D149" s="7" t="s">
        <v>151</v>
      </c>
      <c r="E149" s="16"/>
      <c r="F149" s="16">
        <v>241000</v>
      </c>
      <c r="G149" s="33">
        <f t="shared" si="18"/>
        <v>11573168.110000003</v>
      </c>
      <c r="H149" s="25">
        <f t="shared" si="17"/>
        <v>0</v>
      </c>
      <c r="I149" s="2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>
        <f>-F149</f>
        <v>-241000</v>
      </c>
      <c r="U149" s="16"/>
      <c r="V149" s="16"/>
      <c r="W149" s="16"/>
      <c r="X149" s="16"/>
      <c r="Y149" s="16"/>
      <c r="Z149" s="16"/>
      <c r="AA149" s="16"/>
    </row>
    <row r="150" spans="1:27" x14ac:dyDescent="0.3">
      <c r="A150" s="23">
        <v>45201</v>
      </c>
      <c r="B150" s="23">
        <v>66</v>
      </c>
      <c r="C150" s="23" t="s">
        <v>23</v>
      </c>
      <c r="D150" s="7" t="s">
        <v>116</v>
      </c>
      <c r="E150" s="16"/>
      <c r="F150" s="16">
        <v>26.25</v>
      </c>
      <c r="G150" s="33">
        <f t="shared" si="18"/>
        <v>11573141.860000003</v>
      </c>
      <c r="H150" s="25">
        <f t="shared" si="17"/>
        <v>0</v>
      </c>
      <c r="I150" s="25"/>
      <c r="J150" s="16"/>
      <c r="K150" s="16"/>
      <c r="L150" s="16"/>
      <c r="M150" s="16"/>
      <c r="N150" s="16"/>
      <c r="O150" s="16"/>
      <c r="P150" s="16"/>
      <c r="Q150" s="16"/>
      <c r="R150" s="16"/>
      <c r="S150" s="16">
        <f>-F150</f>
        <v>-26.25</v>
      </c>
      <c r="T150" s="16"/>
      <c r="U150" s="16"/>
      <c r="V150" s="16"/>
      <c r="W150" s="16"/>
      <c r="X150" s="16"/>
      <c r="Y150" s="16"/>
      <c r="Z150" s="16"/>
      <c r="AA150" s="16"/>
    </row>
    <row r="151" spans="1:27" ht="28.8" x14ac:dyDescent="0.3">
      <c r="A151" s="23">
        <v>45201</v>
      </c>
      <c r="B151" s="23" t="s">
        <v>152</v>
      </c>
      <c r="C151" s="23" t="s">
        <v>153</v>
      </c>
      <c r="D151" s="7" t="s">
        <v>345</v>
      </c>
      <c r="E151" s="16"/>
      <c r="F151" s="16">
        <v>241575.6</v>
      </c>
      <c r="G151" s="33">
        <f t="shared" si="18"/>
        <v>11331566.260000004</v>
      </c>
      <c r="H151" s="25">
        <f t="shared" si="17"/>
        <v>0</v>
      </c>
      <c r="I151" s="25"/>
      <c r="J151" s="16"/>
      <c r="K151" s="16"/>
      <c r="L151" s="16"/>
      <c r="M151" s="16">
        <f>-F151</f>
        <v>-241575.6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x14ac:dyDescent="0.3">
      <c r="A152" s="6">
        <v>45201</v>
      </c>
      <c r="B152" s="23" t="s">
        <v>154</v>
      </c>
      <c r="C152" s="23" t="s">
        <v>155</v>
      </c>
      <c r="D152" s="5" t="s">
        <v>324</v>
      </c>
      <c r="E152" s="16"/>
      <c r="F152" s="16">
        <v>1056254.83</v>
      </c>
      <c r="G152" s="33">
        <f t="shared" si="18"/>
        <v>10275311.430000003</v>
      </c>
      <c r="H152" s="27">
        <f t="shared" si="17"/>
        <v>0</v>
      </c>
      <c r="I152" s="37" t="s">
        <v>393</v>
      </c>
      <c r="J152" s="16"/>
      <c r="K152" s="16"/>
      <c r="L152" s="16">
        <f>-F152</f>
        <v>-1056254.83</v>
      </c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28.8" x14ac:dyDescent="0.3">
      <c r="A153" s="23">
        <v>45201</v>
      </c>
      <c r="B153" s="23" t="s">
        <v>156</v>
      </c>
      <c r="C153" s="23" t="s">
        <v>157</v>
      </c>
      <c r="D153" s="7" t="s">
        <v>346</v>
      </c>
      <c r="E153" s="16"/>
      <c r="F153" s="16">
        <v>53130</v>
      </c>
      <c r="G153" s="33">
        <f t="shared" si="18"/>
        <v>10222181.430000003</v>
      </c>
      <c r="H153" s="25">
        <f t="shared" si="17"/>
        <v>0</v>
      </c>
      <c r="I153" s="25"/>
      <c r="J153" s="16"/>
      <c r="K153" s="16"/>
      <c r="L153" s="16"/>
      <c r="M153" s="16">
        <f>-F153</f>
        <v>-53130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x14ac:dyDescent="0.3">
      <c r="A154" s="23">
        <v>45203</v>
      </c>
      <c r="B154" s="23" t="s">
        <v>158</v>
      </c>
      <c r="C154" s="23" t="s">
        <v>159</v>
      </c>
      <c r="D154" s="7" t="s">
        <v>347</v>
      </c>
      <c r="E154" s="16"/>
      <c r="F154" s="16">
        <v>14000</v>
      </c>
      <c r="G154" s="33">
        <f t="shared" si="18"/>
        <v>10208181.430000003</v>
      </c>
      <c r="H154" s="25">
        <f t="shared" si="17"/>
        <v>0</v>
      </c>
      <c r="I154" s="38" t="s">
        <v>395</v>
      </c>
      <c r="J154" s="16"/>
      <c r="K154" s="16"/>
      <c r="L154" s="16">
        <f>-F154</f>
        <v>-14000</v>
      </c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x14ac:dyDescent="0.3">
      <c r="A155" s="23">
        <v>45204</v>
      </c>
      <c r="B155" s="23" t="s">
        <v>160</v>
      </c>
      <c r="C155" s="23" t="s">
        <v>161</v>
      </c>
      <c r="D155" s="7" t="s">
        <v>348</v>
      </c>
      <c r="E155" s="16"/>
      <c r="F155" s="16">
        <v>259.2</v>
      </c>
      <c r="G155" s="33">
        <f t="shared" si="18"/>
        <v>10207922.230000004</v>
      </c>
      <c r="H155" s="25">
        <f t="shared" si="17"/>
        <v>0</v>
      </c>
      <c r="I155" s="25"/>
      <c r="J155" s="16"/>
      <c r="K155" s="16"/>
      <c r="L155" s="16"/>
      <c r="M155" s="16">
        <f>-F155</f>
        <v>-259.2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x14ac:dyDescent="0.3">
      <c r="A156" s="23">
        <v>45208</v>
      </c>
      <c r="B156" s="23" t="s">
        <v>162</v>
      </c>
      <c r="C156" s="23">
        <v>36672</v>
      </c>
      <c r="D156" s="7" t="s">
        <v>334</v>
      </c>
      <c r="E156" s="16"/>
      <c r="F156" s="16">
        <v>23814</v>
      </c>
      <c r="G156" s="33">
        <f t="shared" si="18"/>
        <v>10184108.230000004</v>
      </c>
      <c r="H156" s="25">
        <f t="shared" si="17"/>
        <v>0</v>
      </c>
      <c r="I156" s="38" t="s">
        <v>396</v>
      </c>
      <c r="J156" s="16"/>
      <c r="K156" s="16"/>
      <c r="L156" s="16">
        <f>-F156</f>
        <v>-23814</v>
      </c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x14ac:dyDescent="0.3">
      <c r="A157" s="23">
        <v>45210</v>
      </c>
      <c r="B157" s="23" t="s">
        <v>163</v>
      </c>
      <c r="C157" s="23" t="s">
        <v>164</v>
      </c>
      <c r="D157" s="7" t="s">
        <v>349</v>
      </c>
      <c r="E157" s="16"/>
      <c r="F157" s="16">
        <v>4270.08</v>
      </c>
      <c r="G157" s="33">
        <f t="shared" si="18"/>
        <v>10179838.150000004</v>
      </c>
      <c r="H157" s="25">
        <f t="shared" si="17"/>
        <v>0</v>
      </c>
      <c r="I157" s="25"/>
      <c r="J157" s="16"/>
      <c r="K157" s="16"/>
      <c r="L157" s="16"/>
      <c r="M157" s="16">
        <f>-F157</f>
        <v>-4270.08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x14ac:dyDescent="0.3">
      <c r="A158" s="23">
        <v>45216</v>
      </c>
      <c r="B158" s="23" t="s">
        <v>165</v>
      </c>
      <c r="C158" s="23" t="s">
        <v>166</v>
      </c>
      <c r="D158" s="7" t="s">
        <v>347</v>
      </c>
      <c r="E158" s="16"/>
      <c r="F158" s="16">
        <v>7350</v>
      </c>
      <c r="G158" s="33">
        <f t="shared" si="18"/>
        <v>10172488.150000004</v>
      </c>
      <c r="H158" s="25">
        <f t="shared" si="17"/>
        <v>0</v>
      </c>
      <c r="I158" s="38" t="s">
        <v>395</v>
      </c>
      <c r="J158" s="16"/>
      <c r="K158" s="16"/>
      <c r="L158" s="16">
        <f>-F158</f>
        <v>-7350</v>
      </c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x14ac:dyDescent="0.3">
      <c r="A159" s="23">
        <v>45216</v>
      </c>
      <c r="B159" s="23" t="s">
        <v>167</v>
      </c>
      <c r="C159" s="23" t="s">
        <v>168</v>
      </c>
      <c r="D159" s="7" t="s">
        <v>350</v>
      </c>
      <c r="E159" s="16"/>
      <c r="F159" s="16">
        <v>12290.12</v>
      </c>
      <c r="G159" s="33">
        <f t="shared" si="18"/>
        <v>10160198.030000005</v>
      </c>
      <c r="H159" s="25">
        <f t="shared" si="17"/>
        <v>0</v>
      </c>
      <c r="I159" s="25"/>
      <c r="J159" s="16"/>
      <c r="K159" s="16"/>
      <c r="L159" s="16"/>
      <c r="M159" s="16">
        <f t="shared" ref="M159:M160" si="20">-F159</f>
        <v>-12290.12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x14ac:dyDescent="0.3">
      <c r="A160" s="23">
        <v>45216</v>
      </c>
      <c r="B160" s="23" t="s">
        <v>169</v>
      </c>
      <c r="C160" s="23" t="s">
        <v>170</v>
      </c>
      <c r="D160" s="7" t="s">
        <v>351</v>
      </c>
      <c r="E160" s="16"/>
      <c r="F160" s="16">
        <v>23804.52</v>
      </c>
      <c r="G160" s="33">
        <f t="shared" si="18"/>
        <v>10136393.510000005</v>
      </c>
      <c r="H160" s="25">
        <f t="shared" si="17"/>
        <v>0</v>
      </c>
      <c r="I160" s="25"/>
      <c r="J160" s="16"/>
      <c r="K160" s="16"/>
      <c r="L160" s="16"/>
      <c r="M160" s="16">
        <f t="shared" si="20"/>
        <v>-23804.52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x14ac:dyDescent="0.3">
      <c r="A161" s="6">
        <v>45217</v>
      </c>
      <c r="B161" s="23" t="s">
        <v>171</v>
      </c>
      <c r="C161" s="23" t="s">
        <v>172</v>
      </c>
      <c r="D161" s="5" t="s">
        <v>324</v>
      </c>
      <c r="E161" s="16"/>
      <c r="F161" s="16">
        <v>154065.29999999999</v>
      </c>
      <c r="G161" s="33">
        <f t="shared" si="18"/>
        <v>9982328.2100000046</v>
      </c>
      <c r="H161" s="27">
        <f t="shared" si="17"/>
        <v>0</v>
      </c>
      <c r="I161" s="37" t="s">
        <v>393</v>
      </c>
      <c r="J161" s="16"/>
      <c r="K161" s="16"/>
      <c r="L161" s="16">
        <f>-F161</f>
        <v>-154065.29999999999</v>
      </c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x14ac:dyDescent="0.3">
      <c r="A162" s="23">
        <v>45222</v>
      </c>
      <c r="B162" s="23" t="s">
        <v>173</v>
      </c>
      <c r="C162" s="23" t="s">
        <v>174</v>
      </c>
      <c r="D162" s="7" t="s">
        <v>352</v>
      </c>
      <c r="E162" s="16"/>
      <c r="F162" s="16">
        <v>25585.87</v>
      </c>
      <c r="G162" s="33">
        <f t="shared" si="18"/>
        <v>9956742.3400000054</v>
      </c>
      <c r="H162" s="25">
        <f t="shared" si="17"/>
        <v>0</v>
      </c>
      <c r="I162" s="25"/>
      <c r="J162" s="16"/>
      <c r="K162" s="16"/>
      <c r="L162" s="16"/>
      <c r="M162" s="16">
        <f t="shared" ref="M162:M164" si="21">-F162</f>
        <v>-25585.87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x14ac:dyDescent="0.3">
      <c r="A163" s="23">
        <v>45223</v>
      </c>
      <c r="B163" s="23" t="s">
        <v>175</v>
      </c>
      <c r="C163" s="23" t="s">
        <v>176</v>
      </c>
      <c r="D163" s="7" t="s">
        <v>353</v>
      </c>
      <c r="E163" s="16"/>
      <c r="F163" s="16">
        <v>4165</v>
      </c>
      <c r="G163" s="33">
        <f t="shared" si="18"/>
        <v>9952577.3400000054</v>
      </c>
      <c r="H163" s="25">
        <f t="shared" si="17"/>
        <v>0</v>
      </c>
      <c r="I163" s="25"/>
      <c r="J163" s="16"/>
      <c r="K163" s="16"/>
      <c r="L163" s="16"/>
      <c r="M163" s="16">
        <f t="shared" si="21"/>
        <v>-4165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x14ac:dyDescent="0.3">
      <c r="A164" s="23">
        <v>45223</v>
      </c>
      <c r="B164" s="23" t="s">
        <v>177</v>
      </c>
      <c r="C164" s="23" t="s">
        <v>178</v>
      </c>
      <c r="D164" s="7" t="s">
        <v>354</v>
      </c>
      <c r="E164" s="16"/>
      <c r="F164" s="16">
        <v>477</v>
      </c>
      <c r="G164" s="33">
        <f t="shared" si="18"/>
        <v>9952100.3400000054</v>
      </c>
      <c r="H164" s="25">
        <f t="shared" si="17"/>
        <v>0</v>
      </c>
      <c r="I164" s="25"/>
      <c r="J164" s="16"/>
      <c r="K164" s="16"/>
      <c r="L164" s="16"/>
      <c r="M164" s="16">
        <f t="shared" si="21"/>
        <v>-477</v>
      </c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28.8" x14ac:dyDescent="0.3">
      <c r="A165" s="23">
        <v>45225</v>
      </c>
      <c r="B165" s="23" t="s">
        <v>179</v>
      </c>
      <c r="C165" s="23" t="s">
        <v>23</v>
      </c>
      <c r="D165" s="7" t="s">
        <v>249</v>
      </c>
      <c r="E165" s="16"/>
      <c r="F165" s="16">
        <v>105</v>
      </c>
      <c r="G165" s="33">
        <f t="shared" si="18"/>
        <v>9951995.3400000054</v>
      </c>
      <c r="H165" s="25">
        <f t="shared" si="17"/>
        <v>0</v>
      </c>
      <c r="I165" s="25"/>
      <c r="J165" s="16"/>
      <c r="K165" s="16"/>
      <c r="L165" s="16"/>
      <c r="M165" s="16"/>
      <c r="N165" s="16"/>
      <c r="O165" s="16"/>
      <c r="P165" s="16"/>
      <c r="Q165" s="16"/>
      <c r="R165" s="16"/>
      <c r="S165" s="16">
        <f>-F165</f>
        <v>-105</v>
      </c>
      <c r="T165" s="16"/>
      <c r="U165" s="16"/>
      <c r="V165" s="16"/>
      <c r="W165" s="16"/>
      <c r="X165" s="16"/>
      <c r="Y165" s="16"/>
      <c r="Z165" s="16"/>
      <c r="AA165" s="16"/>
    </row>
    <row r="166" spans="1:27" x14ac:dyDescent="0.3">
      <c r="A166" s="23">
        <v>45226</v>
      </c>
      <c r="B166" s="23" t="s">
        <v>180</v>
      </c>
      <c r="C166" s="23" t="s">
        <v>181</v>
      </c>
      <c r="D166" s="7" t="s">
        <v>355</v>
      </c>
      <c r="E166" s="16"/>
      <c r="F166" s="16">
        <v>20000</v>
      </c>
      <c r="G166" s="33">
        <f t="shared" si="18"/>
        <v>9931995.3400000054</v>
      </c>
      <c r="H166" s="25">
        <f t="shared" si="17"/>
        <v>0</v>
      </c>
      <c r="I166" s="25"/>
      <c r="J166" s="16"/>
      <c r="K166" s="16"/>
      <c r="L166" s="16"/>
      <c r="M166" s="16">
        <f t="shared" ref="M166:M168" si="22">-F166</f>
        <v>-20000</v>
      </c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x14ac:dyDescent="0.3">
      <c r="A167" s="23">
        <v>45230</v>
      </c>
      <c r="B167" s="23" t="s">
        <v>182</v>
      </c>
      <c r="C167" s="23" t="s">
        <v>183</v>
      </c>
      <c r="D167" s="7" t="s">
        <v>356</v>
      </c>
      <c r="E167" s="16"/>
      <c r="F167" s="16">
        <v>36.25</v>
      </c>
      <c r="G167" s="33">
        <f t="shared" si="18"/>
        <v>9931959.0900000054</v>
      </c>
      <c r="H167" s="25">
        <f t="shared" si="17"/>
        <v>0</v>
      </c>
      <c r="I167" s="25"/>
      <c r="J167" s="16"/>
      <c r="K167" s="16"/>
      <c r="L167" s="16"/>
      <c r="M167" s="16">
        <f t="shared" si="22"/>
        <v>-36.25</v>
      </c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x14ac:dyDescent="0.3">
      <c r="A168" s="23">
        <v>45230</v>
      </c>
      <c r="B168" s="23" t="s">
        <v>184</v>
      </c>
      <c r="C168" s="23" t="s">
        <v>185</v>
      </c>
      <c r="D168" s="7" t="s">
        <v>357</v>
      </c>
      <c r="E168" s="16"/>
      <c r="F168" s="16">
        <v>1993.54</v>
      </c>
      <c r="G168" s="33">
        <f t="shared" si="18"/>
        <v>9929965.5500000063</v>
      </c>
      <c r="H168" s="25">
        <f t="shared" si="17"/>
        <v>0</v>
      </c>
      <c r="I168" s="25"/>
      <c r="J168" s="16"/>
      <c r="K168" s="16"/>
      <c r="L168" s="16"/>
      <c r="M168" s="16">
        <f t="shared" si="22"/>
        <v>-1993.54</v>
      </c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x14ac:dyDescent="0.3">
      <c r="A169" s="23">
        <v>45230</v>
      </c>
      <c r="B169" s="23" t="s">
        <v>186</v>
      </c>
      <c r="C169" s="23" t="s">
        <v>187</v>
      </c>
      <c r="D169" s="7" t="s">
        <v>256</v>
      </c>
      <c r="E169" s="16"/>
      <c r="F169" s="16">
        <v>50000</v>
      </c>
      <c r="G169" s="33">
        <f t="shared" si="18"/>
        <v>9879965.5500000063</v>
      </c>
      <c r="H169" s="25">
        <f t="shared" si="17"/>
        <v>0</v>
      </c>
      <c r="I169" s="25"/>
      <c r="J169" s="16"/>
      <c r="K169" s="16"/>
      <c r="L169" s="16"/>
      <c r="M169" s="16"/>
      <c r="N169" s="16"/>
      <c r="O169" s="16">
        <f>-F169</f>
        <v>-50000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x14ac:dyDescent="0.3">
      <c r="A170" s="23">
        <v>45231</v>
      </c>
      <c r="B170" s="23" t="s">
        <v>188</v>
      </c>
      <c r="C170" s="23" t="s">
        <v>189</v>
      </c>
      <c r="D170" s="7" t="s">
        <v>358</v>
      </c>
      <c r="E170" s="16"/>
      <c r="F170" s="16">
        <v>243811.25</v>
      </c>
      <c r="G170" s="33">
        <f t="shared" si="18"/>
        <v>9636154.3000000063</v>
      </c>
      <c r="H170" s="25">
        <f t="shared" si="17"/>
        <v>0</v>
      </c>
      <c r="I170" s="25"/>
      <c r="J170" s="16"/>
      <c r="K170" s="16"/>
      <c r="L170" s="16"/>
      <c r="M170" s="16">
        <f t="shared" ref="M170:M175" si="23">-F170</f>
        <v>-243811.25</v>
      </c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x14ac:dyDescent="0.3">
      <c r="A171" s="23">
        <v>45233</v>
      </c>
      <c r="B171" s="23" t="s">
        <v>190</v>
      </c>
      <c r="C171" s="23" t="s">
        <v>191</v>
      </c>
      <c r="D171" s="7" t="s">
        <v>359</v>
      </c>
      <c r="E171" s="16"/>
      <c r="F171" s="16">
        <v>1320</v>
      </c>
      <c r="G171" s="33">
        <f t="shared" si="18"/>
        <v>9634834.3000000063</v>
      </c>
      <c r="H171" s="25">
        <f t="shared" si="17"/>
        <v>0</v>
      </c>
      <c r="I171" s="25"/>
      <c r="J171" s="16"/>
      <c r="K171" s="16"/>
      <c r="L171" s="16"/>
      <c r="M171" s="16">
        <f t="shared" si="23"/>
        <v>-1320</v>
      </c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x14ac:dyDescent="0.3">
      <c r="A172" s="23">
        <v>45236</v>
      </c>
      <c r="B172" s="23" t="s">
        <v>192</v>
      </c>
      <c r="C172" s="23" t="s">
        <v>193</v>
      </c>
      <c r="D172" s="7" t="s">
        <v>360</v>
      </c>
      <c r="E172" s="16"/>
      <c r="F172" s="16">
        <v>1166285.79</v>
      </c>
      <c r="G172" s="33">
        <f t="shared" si="18"/>
        <v>8468548.5100000054</v>
      </c>
      <c r="H172" s="25">
        <f t="shared" si="17"/>
        <v>0</v>
      </c>
      <c r="I172" s="25"/>
      <c r="J172" s="16"/>
      <c r="K172" s="16"/>
      <c r="L172" s="16"/>
      <c r="M172" s="16">
        <f t="shared" si="23"/>
        <v>-1166285.79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x14ac:dyDescent="0.3">
      <c r="A173" s="23">
        <v>45237</v>
      </c>
      <c r="B173" s="23" t="s">
        <v>194</v>
      </c>
      <c r="C173" s="23" t="s">
        <v>195</v>
      </c>
      <c r="D173" s="7" t="s">
        <v>361</v>
      </c>
      <c r="E173" s="16"/>
      <c r="F173" s="16">
        <v>7607.97</v>
      </c>
      <c r="G173" s="33">
        <f t="shared" si="18"/>
        <v>8460940.5400000047</v>
      </c>
      <c r="H173" s="25">
        <f t="shared" si="17"/>
        <v>0</v>
      </c>
      <c r="I173" s="25"/>
      <c r="J173" s="16"/>
      <c r="K173" s="16"/>
      <c r="L173" s="16"/>
      <c r="M173" s="16">
        <f t="shared" si="23"/>
        <v>-7607.97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x14ac:dyDescent="0.3">
      <c r="A174" s="23">
        <v>45237</v>
      </c>
      <c r="B174" s="23" t="s">
        <v>196</v>
      </c>
      <c r="C174" s="23" t="s">
        <v>197</v>
      </c>
      <c r="D174" s="7" t="s">
        <v>362</v>
      </c>
      <c r="E174" s="16"/>
      <c r="F174" s="16">
        <v>8987.94</v>
      </c>
      <c r="G174" s="33">
        <f t="shared" si="18"/>
        <v>8451952.6000000052</v>
      </c>
      <c r="H174" s="25">
        <f t="shared" si="17"/>
        <v>0</v>
      </c>
      <c r="I174" s="25"/>
      <c r="J174" s="16"/>
      <c r="K174" s="16"/>
      <c r="L174" s="16"/>
      <c r="M174" s="16">
        <f t="shared" si="23"/>
        <v>-8987.94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28.8" x14ac:dyDescent="0.3">
      <c r="A175" s="23">
        <v>45239</v>
      </c>
      <c r="B175" s="23" t="s">
        <v>198</v>
      </c>
      <c r="C175" s="23" t="s">
        <v>199</v>
      </c>
      <c r="D175" s="7" t="s">
        <v>363</v>
      </c>
      <c r="E175" s="16"/>
      <c r="F175" s="16">
        <v>4996.13</v>
      </c>
      <c r="G175" s="33">
        <f t="shared" si="18"/>
        <v>8446956.4700000044</v>
      </c>
      <c r="H175" s="25">
        <f t="shared" si="17"/>
        <v>0</v>
      </c>
      <c r="I175" s="25"/>
      <c r="J175" s="16"/>
      <c r="K175" s="16"/>
      <c r="L175" s="16"/>
      <c r="M175" s="16">
        <f t="shared" si="23"/>
        <v>-4996.13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28.8" x14ac:dyDescent="0.3">
      <c r="A176" s="23">
        <v>45243</v>
      </c>
      <c r="B176" s="23" t="s">
        <v>200</v>
      </c>
      <c r="C176" s="23" t="s">
        <v>23</v>
      </c>
      <c r="D176" s="7" t="s">
        <v>364</v>
      </c>
      <c r="E176" s="16">
        <v>5000000</v>
      </c>
      <c r="F176" s="16"/>
      <c r="G176" s="33">
        <f t="shared" si="18"/>
        <v>13446956.470000004</v>
      </c>
      <c r="H176" s="25">
        <f t="shared" si="17"/>
        <v>0</v>
      </c>
      <c r="I176" s="2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>
        <f t="shared" ref="V176:V177" si="24">E176</f>
        <v>5000000</v>
      </c>
      <c r="W176" s="16"/>
      <c r="X176" s="16"/>
      <c r="Y176" s="16"/>
      <c r="Z176" s="16"/>
      <c r="AA176" s="16"/>
    </row>
    <row r="177" spans="1:27" ht="28.8" x14ac:dyDescent="0.3">
      <c r="A177" s="23">
        <v>45243</v>
      </c>
      <c r="B177" s="23" t="s">
        <v>201</v>
      </c>
      <c r="C177" s="23" t="s">
        <v>23</v>
      </c>
      <c r="D177" s="7" t="s">
        <v>365</v>
      </c>
      <c r="E177" s="16">
        <v>5000000</v>
      </c>
      <c r="F177" s="16"/>
      <c r="G177" s="33">
        <f t="shared" si="18"/>
        <v>18446956.470000006</v>
      </c>
      <c r="H177" s="25">
        <f t="shared" si="17"/>
        <v>0</v>
      </c>
      <c r="I177" s="2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>
        <f t="shared" si="24"/>
        <v>5000000</v>
      </c>
      <c r="W177" s="16"/>
      <c r="X177" s="16"/>
      <c r="Y177" s="16"/>
      <c r="Z177" s="16"/>
      <c r="AA177" s="16"/>
    </row>
    <row r="178" spans="1:27" ht="28.8" x14ac:dyDescent="0.3">
      <c r="A178" s="23">
        <v>45244</v>
      </c>
      <c r="B178" s="23">
        <v>782800</v>
      </c>
      <c r="C178" s="23" t="s">
        <v>23</v>
      </c>
      <c r="D178" s="7" t="s">
        <v>366</v>
      </c>
      <c r="E178" s="16"/>
      <c r="F178" s="16">
        <v>14882435</v>
      </c>
      <c r="G178" s="33">
        <f t="shared" si="18"/>
        <v>3564521.4700000063</v>
      </c>
      <c r="H178" s="25">
        <f t="shared" si="17"/>
        <v>0</v>
      </c>
      <c r="I178" s="25"/>
      <c r="J178" s="16"/>
      <c r="K178" s="16"/>
      <c r="L178" s="16"/>
      <c r="M178" s="16"/>
      <c r="N178" s="16"/>
      <c r="O178" s="16"/>
      <c r="P178" s="16"/>
      <c r="Q178" s="16">
        <f>-F178</f>
        <v>-14882435</v>
      </c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x14ac:dyDescent="0.3">
      <c r="A179" s="23">
        <v>45244</v>
      </c>
      <c r="B179" s="23">
        <v>782800</v>
      </c>
      <c r="C179" s="23" t="s">
        <v>23</v>
      </c>
      <c r="D179" s="7" t="s">
        <v>251</v>
      </c>
      <c r="E179" s="16"/>
      <c r="F179" s="16">
        <v>26.25</v>
      </c>
      <c r="G179" s="33">
        <f t="shared" si="18"/>
        <v>3564495.2200000063</v>
      </c>
      <c r="H179" s="25">
        <f t="shared" si="17"/>
        <v>0</v>
      </c>
      <c r="I179" s="25"/>
      <c r="J179" s="16"/>
      <c r="K179" s="16"/>
      <c r="L179" s="16"/>
      <c r="M179" s="16"/>
      <c r="N179" s="16"/>
      <c r="O179" s="16"/>
      <c r="P179" s="16"/>
      <c r="Q179" s="16"/>
      <c r="R179" s="16"/>
      <c r="S179" s="16">
        <f>-F179</f>
        <v>-26.25</v>
      </c>
      <c r="T179" s="16"/>
      <c r="U179" s="16"/>
      <c r="V179" s="16"/>
      <c r="W179" s="16"/>
      <c r="X179" s="16"/>
      <c r="Y179" s="16"/>
      <c r="Z179" s="16"/>
      <c r="AA179" s="16"/>
    </row>
    <row r="180" spans="1:27" ht="28.8" x14ac:dyDescent="0.3">
      <c r="A180" s="23">
        <v>45244</v>
      </c>
      <c r="B180" s="23">
        <v>782801</v>
      </c>
      <c r="C180" s="23" t="s">
        <v>23</v>
      </c>
      <c r="D180" s="7" t="s">
        <v>367</v>
      </c>
      <c r="E180" s="16"/>
      <c r="F180" s="16">
        <v>900040</v>
      </c>
      <c r="G180" s="33">
        <f t="shared" si="18"/>
        <v>2664455.2200000063</v>
      </c>
      <c r="H180" s="25">
        <f t="shared" si="17"/>
        <v>0</v>
      </c>
      <c r="I180" s="25"/>
      <c r="J180" s="16"/>
      <c r="K180" s="16"/>
      <c r="L180" s="16"/>
      <c r="M180" s="16"/>
      <c r="N180" s="16"/>
      <c r="O180" s="16"/>
      <c r="P180" s="16"/>
      <c r="Q180" s="16">
        <f>-F180</f>
        <v>-900040</v>
      </c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x14ac:dyDescent="0.3">
      <c r="A181" s="23">
        <v>45244</v>
      </c>
      <c r="B181" s="23">
        <v>782801</v>
      </c>
      <c r="C181" s="23" t="s">
        <v>23</v>
      </c>
      <c r="D181" s="7" t="s">
        <v>251</v>
      </c>
      <c r="E181" s="16"/>
      <c r="F181" s="16">
        <v>26.25</v>
      </c>
      <c r="G181" s="33">
        <f t="shared" si="18"/>
        <v>2664428.9700000063</v>
      </c>
      <c r="H181" s="25">
        <f t="shared" si="17"/>
        <v>0</v>
      </c>
      <c r="I181" s="25"/>
      <c r="J181" s="16"/>
      <c r="K181" s="16"/>
      <c r="L181" s="16"/>
      <c r="M181" s="16"/>
      <c r="N181" s="16"/>
      <c r="O181" s="16"/>
      <c r="P181" s="16"/>
      <c r="Q181" s="16"/>
      <c r="R181" s="16"/>
      <c r="S181" s="16">
        <f>-F181</f>
        <v>-26.25</v>
      </c>
      <c r="T181" s="16"/>
      <c r="U181" s="16"/>
      <c r="V181" s="16"/>
      <c r="W181" s="16"/>
      <c r="X181" s="16"/>
      <c r="Y181" s="16"/>
      <c r="Z181" s="16"/>
      <c r="AA181" s="16"/>
    </row>
    <row r="182" spans="1:27" ht="28.8" x14ac:dyDescent="0.3">
      <c r="A182" s="23">
        <v>45244</v>
      </c>
      <c r="B182" s="23">
        <v>782802</v>
      </c>
      <c r="C182" s="23" t="s">
        <v>23</v>
      </c>
      <c r="D182" s="7" t="s">
        <v>368</v>
      </c>
      <c r="E182" s="16"/>
      <c r="F182" s="16">
        <v>472500</v>
      </c>
      <c r="G182" s="33">
        <f t="shared" si="18"/>
        <v>2191928.9700000063</v>
      </c>
      <c r="H182" s="25">
        <f t="shared" si="17"/>
        <v>0</v>
      </c>
      <c r="I182" s="25"/>
      <c r="J182" s="16"/>
      <c r="K182" s="16"/>
      <c r="L182" s="16"/>
      <c r="M182" s="16"/>
      <c r="N182" s="16"/>
      <c r="O182" s="16"/>
      <c r="P182" s="16"/>
      <c r="Q182" s="16">
        <f>-F182</f>
        <v>-472500</v>
      </c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x14ac:dyDescent="0.3">
      <c r="A183" s="23">
        <v>45244</v>
      </c>
      <c r="B183" s="23">
        <v>782802</v>
      </c>
      <c r="C183" s="23" t="s">
        <v>23</v>
      </c>
      <c r="D183" s="7" t="s">
        <v>251</v>
      </c>
      <c r="E183" s="16"/>
      <c r="F183" s="16">
        <v>26.25</v>
      </c>
      <c r="G183" s="33">
        <f t="shared" si="18"/>
        <v>2191902.7200000063</v>
      </c>
      <c r="H183" s="25">
        <f t="shared" si="17"/>
        <v>0</v>
      </c>
      <c r="I183" s="25"/>
      <c r="J183" s="16"/>
      <c r="K183" s="16"/>
      <c r="L183" s="16"/>
      <c r="M183" s="16"/>
      <c r="N183" s="16"/>
      <c r="O183" s="16"/>
      <c r="P183" s="16"/>
      <c r="Q183" s="16"/>
      <c r="R183" s="16"/>
      <c r="S183" s="16">
        <f>-F183</f>
        <v>-26.25</v>
      </c>
      <c r="T183" s="16"/>
      <c r="U183" s="16"/>
      <c r="V183" s="16"/>
      <c r="W183" s="16"/>
      <c r="X183" s="16"/>
      <c r="Y183" s="16"/>
      <c r="Z183" s="16"/>
      <c r="AA183" s="16"/>
    </row>
    <row r="184" spans="1:27" x14ac:dyDescent="0.3">
      <c r="A184" s="23">
        <v>45245</v>
      </c>
      <c r="B184" s="23" t="s">
        <v>202</v>
      </c>
      <c r="C184" s="23">
        <v>2088362</v>
      </c>
      <c r="D184" s="7" t="s">
        <v>369</v>
      </c>
      <c r="E184" s="16"/>
      <c r="F184" s="16">
        <v>596339.1</v>
      </c>
      <c r="G184" s="33">
        <f t="shared" si="18"/>
        <v>1595563.6200000062</v>
      </c>
      <c r="H184" s="25">
        <f t="shared" si="17"/>
        <v>0</v>
      </c>
      <c r="I184" s="25"/>
      <c r="J184" s="16"/>
      <c r="K184" s="16"/>
      <c r="L184" s="16"/>
      <c r="M184" s="16">
        <f t="shared" ref="M184:M185" si="25">-F184</f>
        <v>-596339.1</v>
      </c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x14ac:dyDescent="0.3">
      <c r="A185" s="23">
        <v>45246</v>
      </c>
      <c r="B185" s="23" t="s">
        <v>203</v>
      </c>
      <c r="C185" s="23" t="s">
        <v>204</v>
      </c>
      <c r="D185" s="7" t="s">
        <v>370</v>
      </c>
      <c r="E185" s="16"/>
      <c r="F185" s="16">
        <v>463</v>
      </c>
      <c r="G185" s="33">
        <f t="shared" si="18"/>
        <v>1595100.6200000062</v>
      </c>
      <c r="H185" s="25">
        <f t="shared" si="17"/>
        <v>0</v>
      </c>
      <c r="I185" s="25"/>
      <c r="J185" s="16"/>
      <c r="K185" s="16"/>
      <c r="L185" s="16"/>
      <c r="M185" s="16">
        <f t="shared" si="25"/>
        <v>-463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28.8" x14ac:dyDescent="0.3">
      <c r="A186" s="23">
        <v>45247</v>
      </c>
      <c r="B186" s="23" t="s">
        <v>205</v>
      </c>
      <c r="C186" s="23" t="s">
        <v>206</v>
      </c>
      <c r="D186" s="7" t="s">
        <v>256</v>
      </c>
      <c r="E186" s="16"/>
      <c r="F186" s="16">
        <v>50000</v>
      </c>
      <c r="G186" s="33">
        <f t="shared" si="18"/>
        <v>1545100.6200000062</v>
      </c>
      <c r="H186" s="25">
        <f t="shared" si="17"/>
        <v>0</v>
      </c>
      <c r="I186" s="25"/>
      <c r="J186" s="16"/>
      <c r="K186" s="16"/>
      <c r="L186" s="16"/>
      <c r="M186" s="16"/>
      <c r="N186" s="16"/>
      <c r="O186" s="16">
        <f t="shared" ref="O186:O187" si="26">-F186</f>
        <v>-50000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28.8" x14ac:dyDescent="0.3">
      <c r="A187" s="23">
        <v>45250</v>
      </c>
      <c r="B187" s="23" t="s">
        <v>207</v>
      </c>
      <c r="C187" s="23" t="s">
        <v>208</v>
      </c>
      <c r="D187" s="7" t="s">
        <v>256</v>
      </c>
      <c r="E187" s="16"/>
      <c r="F187" s="16">
        <v>50000</v>
      </c>
      <c r="G187" s="33">
        <f t="shared" si="18"/>
        <v>1495100.6200000062</v>
      </c>
      <c r="H187" s="25">
        <f t="shared" si="17"/>
        <v>0</v>
      </c>
      <c r="I187" s="25"/>
      <c r="J187" s="16"/>
      <c r="K187" s="16"/>
      <c r="L187" s="16"/>
      <c r="M187" s="16"/>
      <c r="N187" s="16"/>
      <c r="O187" s="16">
        <f t="shared" si="26"/>
        <v>-50000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28.8" x14ac:dyDescent="0.3">
      <c r="A188" s="23">
        <v>45256</v>
      </c>
      <c r="B188" s="23" t="s">
        <v>209</v>
      </c>
      <c r="C188" s="23" t="s">
        <v>23</v>
      </c>
      <c r="D188" s="7" t="s">
        <v>249</v>
      </c>
      <c r="E188" s="16"/>
      <c r="F188" s="16">
        <v>131.25</v>
      </c>
      <c r="G188" s="33">
        <f t="shared" si="18"/>
        <v>1494969.3700000062</v>
      </c>
      <c r="H188" s="25">
        <f t="shared" si="17"/>
        <v>0</v>
      </c>
      <c r="I188" s="25"/>
      <c r="J188" s="16"/>
      <c r="K188" s="16"/>
      <c r="L188" s="16"/>
      <c r="M188" s="16"/>
      <c r="N188" s="16"/>
      <c r="O188" s="16"/>
      <c r="P188" s="16"/>
      <c r="Q188" s="16"/>
      <c r="R188" s="16"/>
      <c r="S188" s="16">
        <f>-F188</f>
        <v>-131.25</v>
      </c>
      <c r="T188" s="16"/>
      <c r="U188" s="16"/>
      <c r="V188" s="16"/>
      <c r="W188" s="16"/>
      <c r="X188" s="16"/>
      <c r="Y188" s="16"/>
      <c r="Z188" s="16"/>
      <c r="AA188" s="16"/>
    </row>
    <row r="189" spans="1:27" x14ac:dyDescent="0.3">
      <c r="A189" s="6">
        <v>45257</v>
      </c>
      <c r="B189" s="23" t="s">
        <v>210</v>
      </c>
      <c r="C189" s="23" t="s">
        <v>211</v>
      </c>
      <c r="D189" s="5" t="s">
        <v>324</v>
      </c>
      <c r="E189" s="16"/>
      <c r="F189" s="16">
        <v>15750</v>
      </c>
      <c r="G189" s="33">
        <f t="shared" si="18"/>
        <v>1479219.3700000062</v>
      </c>
      <c r="H189" s="27">
        <f t="shared" si="17"/>
        <v>0</v>
      </c>
      <c r="I189" s="37" t="s">
        <v>393</v>
      </c>
      <c r="J189" s="16"/>
      <c r="K189" s="16"/>
      <c r="L189" s="16">
        <f t="shared" ref="L189:L191" si="27">-F189</f>
        <v>-15750</v>
      </c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x14ac:dyDescent="0.3">
      <c r="A190" s="6">
        <v>45257</v>
      </c>
      <c r="B190" s="23" t="s">
        <v>212</v>
      </c>
      <c r="C190" s="23" t="s">
        <v>213</v>
      </c>
      <c r="D190" s="5" t="s">
        <v>324</v>
      </c>
      <c r="E190" s="16"/>
      <c r="F190" s="16">
        <v>18900</v>
      </c>
      <c r="G190" s="33">
        <f t="shared" si="18"/>
        <v>1460319.3700000062</v>
      </c>
      <c r="H190" s="27">
        <f t="shared" si="17"/>
        <v>0</v>
      </c>
      <c r="I190" s="37" t="s">
        <v>393</v>
      </c>
      <c r="J190" s="16"/>
      <c r="K190" s="16"/>
      <c r="L190" s="16">
        <f t="shared" si="27"/>
        <v>-18900</v>
      </c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x14ac:dyDescent="0.3">
      <c r="A191" s="6">
        <v>45257</v>
      </c>
      <c r="B191" s="23" t="s">
        <v>214</v>
      </c>
      <c r="C191" s="23" t="s">
        <v>215</v>
      </c>
      <c r="D191" s="5" t="s">
        <v>324</v>
      </c>
      <c r="E191" s="16"/>
      <c r="F191" s="16">
        <v>7350</v>
      </c>
      <c r="G191" s="33">
        <f t="shared" si="18"/>
        <v>1452969.3700000062</v>
      </c>
      <c r="H191" s="27">
        <f t="shared" si="17"/>
        <v>0</v>
      </c>
      <c r="I191" s="37" t="s">
        <v>393</v>
      </c>
      <c r="J191" s="16"/>
      <c r="K191" s="16"/>
      <c r="L191" s="16">
        <f t="shared" si="27"/>
        <v>-7350</v>
      </c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x14ac:dyDescent="0.3">
      <c r="A192" s="23">
        <v>45272</v>
      </c>
      <c r="B192" s="23" t="s">
        <v>216</v>
      </c>
      <c r="C192" s="23" t="s">
        <v>217</v>
      </c>
      <c r="D192" s="7" t="s">
        <v>334</v>
      </c>
      <c r="E192" s="16"/>
      <c r="F192" s="16">
        <v>39123</v>
      </c>
      <c r="G192" s="33">
        <f t="shared" si="18"/>
        <v>1413846.3700000062</v>
      </c>
      <c r="H192" s="25">
        <f t="shared" si="17"/>
        <v>0</v>
      </c>
      <c r="I192" s="38" t="s">
        <v>396</v>
      </c>
      <c r="J192" s="16"/>
      <c r="K192" s="16"/>
      <c r="L192" s="16">
        <f>-F192</f>
        <v>-39123</v>
      </c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x14ac:dyDescent="0.3">
      <c r="A193" s="6">
        <v>45272</v>
      </c>
      <c r="B193" s="23" t="s">
        <v>218</v>
      </c>
      <c r="C193" s="23" t="s">
        <v>219</v>
      </c>
      <c r="D193" s="5" t="s">
        <v>324</v>
      </c>
      <c r="E193" s="16"/>
      <c r="F193" s="16">
        <v>704169.89</v>
      </c>
      <c r="G193" s="33">
        <f t="shared" si="18"/>
        <v>709676.48000000615</v>
      </c>
      <c r="H193" s="27">
        <f t="shared" si="17"/>
        <v>0</v>
      </c>
      <c r="I193" s="37" t="s">
        <v>393</v>
      </c>
      <c r="J193" s="16"/>
      <c r="K193" s="16"/>
      <c r="L193" s="16">
        <f>-F193</f>
        <v>-704169.89</v>
      </c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x14ac:dyDescent="0.3">
      <c r="A194" s="23">
        <v>45275</v>
      </c>
      <c r="B194" s="23" t="s">
        <v>220</v>
      </c>
      <c r="C194" s="23" t="s">
        <v>221</v>
      </c>
      <c r="D194" s="7" t="s">
        <v>371</v>
      </c>
      <c r="E194" s="16"/>
      <c r="F194" s="16">
        <v>1575</v>
      </c>
      <c r="G194" s="33">
        <f t="shared" si="18"/>
        <v>708101.48000000615</v>
      </c>
      <c r="H194" s="25">
        <f t="shared" si="17"/>
        <v>0</v>
      </c>
      <c r="I194" s="25"/>
      <c r="J194" s="16"/>
      <c r="K194" s="16"/>
      <c r="L194" s="16"/>
      <c r="M194" s="16">
        <f t="shared" ref="M194:M196" si="28">-F194</f>
        <v>-1575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28.8" x14ac:dyDescent="0.3">
      <c r="A195" s="23">
        <v>45276</v>
      </c>
      <c r="B195" s="23" t="s">
        <v>222</v>
      </c>
      <c r="C195" s="23" t="s">
        <v>223</v>
      </c>
      <c r="D195" s="7" t="s">
        <v>372</v>
      </c>
      <c r="E195" s="16"/>
      <c r="F195" s="16">
        <v>11760</v>
      </c>
      <c r="G195" s="33">
        <f t="shared" si="18"/>
        <v>696341.48000000615</v>
      </c>
      <c r="H195" s="25">
        <f t="shared" si="17"/>
        <v>0</v>
      </c>
      <c r="I195" s="25"/>
      <c r="J195" s="16"/>
      <c r="K195" s="16"/>
      <c r="L195" s="16"/>
      <c r="M195" s="16">
        <f t="shared" si="28"/>
        <v>-11760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x14ac:dyDescent="0.3">
      <c r="A196" s="23">
        <v>45276</v>
      </c>
      <c r="B196" s="23" t="s">
        <v>224</v>
      </c>
      <c r="C196" s="23" t="s">
        <v>225</v>
      </c>
      <c r="D196" s="7" t="s">
        <v>373</v>
      </c>
      <c r="E196" s="16"/>
      <c r="F196" s="16">
        <v>48463.28</v>
      </c>
      <c r="G196" s="33">
        <f t="shared" si="18"/>
        <v>647878.20000000612</v>
      </c>
      <c r="H196" s="25">
        <f t="shared" si="17"/>
        <v>0</v>
      </c>
      <c r="I196" s="25"/>
      <c r="J196" s="16"/>
      <c r="K196" s="16"/>
      <c r="L196" s="16"/>
      <c r="M196" s="16">
        <f t="shared" si="28"/>
        <v>-48463.28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28.8" x14ac:dyDescent="0.3">
      <c r="A197" s="23">
        <v>45279</v>
      </c>
      <c r="B197" s="23" t="s">
        <v>226</v>
      </c>
      <c r="C197" s="23" t="s">
        <v>23</v>
      </c>
      <c r="D197" s="7" t="s">
        <v>374</v>
      </c>
      <c r="E197" s="16">
        <v>4000000</v>
      </c>
      <c r="F197" s="16"/>
      <c r="G197" s="33">
        <f t="shared" si="18"/>
        <v>4647878.2000000058</v>
      </c>
      <c r="H197" s="25">
        <f t="shared" si="17"/>
        <v>0</v>
      </c>
      <c r="I197" s="38" t="s">
        <v>402</v>
      </c>
      <c r="J197" s="16"/>
      <c r="K197" s="16">
        <f>E197</f>
        <v>4000000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28.8" x14ac:dyDescent="0.3">
      <c r="A198" s="23">
        <v>45279</v>
      </c>
      <c r="B198" s="23" t="s">
        <v>227</v>
      </c>
      <c r="C198" s="23" t="s">
        <v>23</v>
      </c>
      <c r="D198" s="7" t="s">
        <v>375</v>
      </c>
      <c r="E198" s="16">
        <v>4000000</v>
      </c>
      <c r="F198" s="16"/>
      <c r="G198" s="33">
        <f t="shared" si="18"/>
        <v>8647878.2000000067</v>
      </c>
      <c r="H198" s="25">
        <f t="shared" si="17"/>
        <v>0</v>
      </c>
      <c r="I198" s="38" t="s">
        <v>402</v>
      </c>
      <c r="J198" s="16"/>
      <c r="K198" s="16">
        <f>E198</f>
        <v>4000000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28.8" x14ac:dyDescent="0.3">
      <c r="A199" s="23">
        <v>45281</v>
      </c>
      <c r="B199" s="23" t="s">
        <v>228</v>
      </c>
      <c r="C199" s="23" t="s">
        <v>229</v>
      </c>
      <c r="D199" s="7" t="s">
        <v>256</v>
      </c>
      <c r="E199" s="16"/>
      <c r="F199" s="16">
        <v>50000</v>
      </c>
      <c r="G199" s="33">
        <f t="shared" si="18"/>
        <v>8597878.2000000067</v>
      </c>
      <c r="H199" s="25">
        <f t="shared" ref="H199:H211" si="29">E199-F199-SUM(J199:AI199)</f>
        <v>0</v>
      </c>
      <c r="I199" s="25"/>
      <c r="J199" s="16"/>
      <c r="K199" s="16"/>
      <c r="L199" s="16"/>
      <c r="M199" s="16"/>
      <c r="N199" s="16"/>
      <c r="O199" s="16">
        <f>-F199</f>
        <v>-50000</v>
      </c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x14ac:dyDescent="0.3">
      <c r="A200" s="23">
        <v>45285</v>
      </c>
      <c r="B200" s="23" t="s">
        <v>230</v>
      </c>
      <c r="C200" s="23" t="s">
        <v>231</v>
      </c>
      <c r="D200" s="7" t="s">
        <v>376</v>
      </c>
      <c r="E200" s="16"/>
      <c r="F200" s="16">
        <v>647</v>
      </c>
      <c r="G200" s="33">
        <f t="shared" si="18"/>
        <v>8597231.2000000067</v>
      </c>
      <c r="H200" s="25">
        <f t="shared" si="29"/>
        <v>0</v>
      </c>
      <c r="I200" s="25"/>
      <c r="J200" s="16"/>
      <c r="K200" s="16"/>
      <c r="L200" s="16"/>
      <c r="M200" s="16">
        <f t="shared" ref="M200:M203" si="30">-F200</f>
        <v>-647</v>
      </c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x14ac:dyDescent="0.3">
      <c r="A201" s="23">
        <v>45285</v>
      </c>
      <c r="B201" s="23" t="s">
        <v>232</v>
      </c>
      <c r="C201" s="23" t="s">
        <v>233</v>
      </c>
      <c r="D201" s="7" t="s">
        <v>377</v>
      </c>
      <c r="E201" s="16"/>
      <c r="F201" s="16">
        <v>20314.52</v>
      </c>
      <c r="G201" s="33">
        <f t="shared" ref="G201:G210" si="31">G200+E201-F201</f>
        <v>8576916.6800000072</v>
      </c>
      <c r="H201" s="25">
        <f t="shared" si="29"/>
        <v>0</v>
      </c>
      <c r="I201" s="25"/>
      <c r="J201" s="16"/>
      <c r="K201" s="16"/>
      <c r="L201" s="16"/>
      <c r="M201" s="16">
        <f t="shared" si="30"/>
        <v>-20314.52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28.8" x14ac:dyDescent="0.3">
      <c r="A202" s="23">
        <v>45285</v>
      </c>
      <c r="B202" s="23" t="s">
        <v>232</v>
      </c>
      <c r="C202" s="23" t="s">
        <v>23</v>
      </c>
      <c r="D202" s="7" t="s">
        <v>378</v>
      </c>
      <c r="E202" s="16">
        <v>20314.52</v>
      </c>
      <c r="F202" s="16"/>
      <c r="G202" s="33">
        <f t="shared" si="31"/>
        <v>8597231.2000000067</v>
      </c>
      <c r="H202" s="25">
        <f t="shared" si="29"/>
        <v>0</v>
      </c>
      <c r="I202" s="25"/>
      <c r="J202" s="16"/>
      <c r="K202" s="16"/>
      <c r="L202" s="16"/>
      <c r="M202" s="16">
        <f t="shared" si="30"/>
        <v>0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>
        <f>E202</f>
        <v>20314.52</v>
      </c>
    </row>
    <row r="203" spans="1:27" x14ac:dyDescent="0.3">
      <c r="A203" s="23">
        <v>45285</v>
      </c>
      <c r="B203" s="23" t="s">
        <v>234</v>
      </c>
      <c r="C203" s="23" t="s">
        <v>233</v>
      </c>
      <c r="D203" s="7" t="s">
        <v>379</v>
      </c>
      <c r="E203" s="16"/>
      <c r="F203" s="16">
        <v>20314.52</v>
      </c>
      <c r="G203" s="33">
        <f t="shared" si="31"/>
        <v>8576916.6800000072</v>
      </c>
      <c r="H203" s="25">
        <f t="shared" si="29"/>
        <v>0</v>
      </c>
      <c r="I203" s="25"/>
      <c r="J203" s="16"/>
      <c r="K203" s="16"/>
      <c r="L203" s="16"/>
      <c r="M203" s="16">
        <f t="shared" si="30"/>
        <v>-20314.52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28.8" x14ac:dyDescent="0.3">
      <c r="A204" s="23">
        <v>45286</v>
      </c>
      <c r="B204" s="23" t="s">
        <v>235</v>
      </c>
      <c r="C204" s="23" t="s">
        <v>23</v>
      </c>
      <c r="D204" s="7" t="s">
        <v>249</v>
      </c>
      <c r="E204" s="16"/>
      <c r="F204" s="16">
        <v>131.25</v>
      </c>
      <c r="G204" s="33">
        <f t="shared" si="31"/>
        <v>8576785.4300000072</v>
      </c>
      <c r="H204" s="25">
        <f t="shared" si="29"/>
        <v>0</v>
      </c>
      <c r="I204" s="25"/>
      <c r="J204" s="16"/>
      <c r="K204" s="16"/>
      <c r="L204" s="16"/>
      <c r="M204" s="16"/>
      <c r="N204" s="16"/>
      <c r="O204" s="16"/>
      <c r="P204" s="16"/>
      <c r="Q204" s="16"/>
      <c r="R204" s="16"/>
      <c r="S204" s="16">
        <f>-F204</f>
        <v>-131.25</v>
      </c>
      <c r="T204" s="16"/>
      <c r="U204" s="16"/>
      <c r="V204" s="16"/>
      <c r="W204" s="16"/>
      <c r="X204" s="16"/>
      <c r="Y204" s="16"/>
      <c r="Z204" s="16"/>
      <c r="AA204" s="16"/>
    </row>
    <row r="205" spans="1:27" ht="28.8" x14ac:dyDescent="0.3">
      <c r="A205" s="23">
        <v>45286</v>
      </c>
      <c r="B205" s="23" t="s">
        <v>236</v>
      </c>
      <c r="C205" s="23" t="s">
        <v>23</v>
      </c>
      <c r="D205" s="7" t="s">
        <v>380</v>
      </c>
      <c r="E205" s="16">
        <v>231888.25</v>
      </c>
      <c r="F205" s="16"/>
      <c r="G205" s="33">
        <f t="shared" si="31"/>
        <v>8808673.6800000072</v>
      </c>
      <c r="H205" s="25">
        <f t="shared" si="29"/>
        <v>0</v>
      </c>
      <c r="I205" s="2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>
        <f>E205</f>
        <v>231888.25</v>
      </c>
    </row>
    <row r="206" spans="1:27" x14ac:dyDescent="0.3">
      <c r="A206" s="23">
        <v>45287</v>
      </c>
      <c r="B206" s="23">
        <v>71</v>
      </c>
      <c r="C206" s="23" t="s">
        <v>23</v>
      </c>
      <c r="D206" s="7" t="s">
        <v>260</v>
      </c>
      <c r="E206" s="16"/>
      <c r="F206" s="16">
        <v>7312027</v>
      </c>
      <c r="G206" s="33">
        <f t="shared" si="31"/>
        <v>1496646.6800000072</v>
      </c>
      <c r="H206" s="25">
        <f t="shared" si="29"/>
        <v>0</v>
      </c>
      <c r="I206" s="2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>
        <f>-F206</f>
        <v>-7312027</v>
      </c>
      <c r="V206" s="16"/>
      <c r="W206" s="16"/>
      <c r="X206" s="16"/>
      <c r="Y206" s="16"/>
      <c r="Z206" s="16"/>
      <c r="AA206" s="16"/>
    </row>
    <row r="207" spans="1:27" x14ac:dyDescent="0.3">
      <c r="A207" s="23">
        <v>45287</v>
      </c>
      <c r="B207" s="23" t="s">
        <v>237</v>
      </c>
      <c r="C207" s="23" t="s">
        <v>238</v>
      </c>
      <c r="D207" s="7" t="s">
        <v>381</v>
      </c>
      <c r="E207" s="16"/>
      <c r="F207" s="16">
        <v>7539.84</v>
      </c>
      <c r="G207" s="33">
        <f t="shared" si="31"/>
        <v>1489106.8400000071</v>
      </c>
      <c r="H207" s="25">
        <f t="shared" si="29"/>
        <v>0</v>
      </c>
      <c r="I207" s="38" t="s">
        <v>394</v>
      </c>
      <c r="J207" s="16"/>
      <c r="K207" s="16"/>
      <c r="L207" s="16">
        <f>-F207</f>
        <v>-7539.84</v>
      </c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28.8" x14ac:dyDescent="0.3">
      <c r="A208" s="23">
        <v>45288</v>
      </c>
      <c r="B208" s="23" t="s">
        <v>239</v>
      </c>
      <c r="C208" s="23" t="s">
        <v>240</v>
      </c>
      <c r="D208" s="7" t="s">
        <v>382</v>
      </c>
      <c r="E208" s="16"/>
      <c r="F208" s="16">
        <v>66412.5</v>
      </c>
      <c r="G208" s="33">
        <f t="shared" si="31"/>
        <v>1422694.3400000071</v>
      </c>
      <c r="H208" s="25">
        <f t="shared" si="29"/>
        <v>0</v>
      </c>
      <c r="I208" s="25"/>
      <c r="J208" s="16"/>
      <c r="K208" s="16"/>
      <c r="L208" s="16"/>
      <c r="M208" s="16">
        <f t="shared" ref="M208:M211" si="32">-F208</f>
        <v>-66412.5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43.2" x14ac:dyDescent="0.3">
      <c r="A209" s="23">
        <v>45288</v>
      </c>
      <c r="B209" s="23" t="s">
        <v>241</v>
      </c>
      <c r="C209" s="23" t="s">
        <v>242</v>
      </c>
      <c r="D209" s="7" t="s">
        <v>383</v>
      </c>
      <c r="E209" s="16"/>
      <c r="F209" s="16">
        <v>66412.5</v>
      </c>
      <c r="G209" s="33">
        <f t="shared" si="31"/>
        <v>1356281.8400000071</v>
      </c>
      <c r="H209" s="25">
        <f t="shared" si="29"/>
        <v>0</v>
      </c>
      <c r="I209" s="25"/>
      <c r="J209" s="16"/>
      <c r="K209" s="16"/>
      <c r="L209" s="16"/>
      <c r="M209" s="16">
        <f t="shared" si="32"/>
        <v>-66412.5</v>
      </c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x14ac:dyDescent="0.3">
      <c r="A210" s="23">
        <v>45289</v>
      </c>
      <c r="B210" s="23" t="s">
        <v>243</v>
      </c>
      <c r="C210" s="23" t="s">
        <v>244</v>
      </c>
      <c r="D210" s="7" t="s">
        <v>384</v>
      </c>
      <c r="E210" s="16"/>
      <c r="F210" s="16">
        <v>1575</v>
      </c>
      <c r="G210" s="33">
        <f t="shared" si="31"/>
        <v>1354706.8400000071</v>
      </c>
      <c r="H210" s="25">
        <f t="shared" si="29"/>
        <v>0</v>
      </c>
      <c r="I210" s="25"/>
      <c r="J210" s="16"/>
      <c r="K210" s="16"/>
      <c r="L210" s="16"/>
      <c r="M210" s="16">
        <f t="shared" si="32"/>
        <v>-1575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x14ac:dyDescent="0.3">
      <c r="A211" s="23">
        <v>45289</v>
      </c>
      <c r="B211" s="23" t="s">
        <v>245</v>
      </c>
      <c r="C211" s="23" t="s">
        <v>246</v>
      </c>
      <c r="D211" s="7" t="s">
        <v>385</v>
      </c>
      <c r="E211" s="16"/>
      <c r="F211" s="16">
        <v>234375.6</v>
      </c>
      <c r="G211" s="33">
        <f>G210+E211-F211</f>
        <v>1120331.240000007</v>
      </c>
      <c r="H211" s="25">
        <f t="shared" si="29"/>
        <v>0</v>
      </c>
      <c r="I211" s="25"/>
      <c r="J211" s="16"/>
      <c r="K211" s="16"/>
      <c r="L211" s="16"/>
      <c r="M211" s="16">
        <f t="shared" si="32"/>
        <v>-234375.6</v>
      </c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5" thickBot="1" x14ac:dyDescent="0.35">
      <c r="A212" s="12"/>
      <c r="B212" s="12"/>
      <c r="C212" s="12"/>
      <c r="D212" s="28" t="s">
        <v>9</v>
      </c>
      <c r="E212" s="21">
        <f>SUM(E7:E211)</f>
        <v>272690333.99000001</v>
      </c>
      <c r="F212" s="21">
        <f>SUM(F8:F211)</f>
        <v>271570002.75</v>
      </c>
      <c r="G212" s="34">
        <f>E212-F212</f>
        <v>1120331.2400000095</v>
      </c>
      <c r="H212" s="21"/>
      <c r="I212" s="21"/>
      <c r="J212" s="21">
        <f t="shared" ref="J212:AA212" si="33">SUM(J7:J211)</f>
        <v>604042.94999999995</v>
      </c>
      <c r="K212" s="21">
        <f t="shared" si="33"/>
        <v>11000000</v>
      </c>
      <c r="L212" s="21">
        <f t="shared" si="33"/>
        <v>-2354349.0099999998</v>
      </c>
      <c r="M212" s="21">
        <f t="shared" si="33"/>
        <v>-10991124.859999996</v>
      </c>
      <c r="N212" s="21">
        <f t="shared" si="33"/>
        <v>413900</v>
      </c>
      <c r="O212" s="21">
        <f t="shared" si="33"/>
        <v>-400000</v>
      </c>
      <c r="P212" s="21">
        <f t="shared" si="33"/>
        <v>-31000000</v>
      </c>
      <c r="Q212" s="21">
        <f t="shared" si="33"/>
        <v>-111302488.13</v>
      </c>
      <c r="R212" s="21">
        <f t="shared" si="33"/>
        <v>-56500</v>
      </c>
      <c r="S212" s="21">
        <f t="shared" si="33"/>
        <v>-2388.75</v>
      </c>
      <c r="T212" s="21">
        <f t="shared" si="33"/>
        <v>-401125</v>
      </c>
      <c r="U212" s="21">
        <f t="shared" si="33"/>
        <v>-8062027</v>
      </c>
      <c r="V212" s="21">
        <f t="shared" si="33"/>
        <v>36900000</v>
      </c>
      <c r="W212" s="21">
        <f t="shared" si="33"/>
        <v>85500000</v>
      </c>
      <c r="X212" s="21">
        <f t="shared" si="33"/>
        <v>1813.27</v>
      </c>
      <c r="Y212" s="21">
        <f t="shared" si="33"/>
        <v>31000000</v>
      </c>
      <c r="Z212" s="21">
        <f t="shared" si="33"/>
        <v>18375</v>
      </c>
      <c r="AA212" s="21">
        <f t="shared" si="33"/>
        <v>252202.77</v>
      </c>
    </row>
    <row r="213" spans="1:27" ht="15" thickTop="1" x14ac:dyDescent="0.3"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x14ac:dyDescent="0.3">
      <c r="D214" s="2" t="s">
        <v>7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x14ac:dyDescent="0.3">
      <c r="D215" s="1" t="str" cm="1">
        <f t="array" ref="D215:D232">+TRANSPOSE(J6:AA6)</f>
        <v>Oepning Balance</v>
      </c>
      <c r="E215" s="35" cm="1">
        <f t="array" ref="E215:E232">+TRANSPOSE(J212:AA212)</f>
        <v>604042.94999999995</v>
      </c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x14ac:dyDescent="0.3">
      <c r="D216" s="1" t="str">
        <v>Reciept</v>
      </c>
      <c r="E216" s="35">
        <v>11000000</v>
      </c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x14ac:dyDescent="0.3">
      <c r="D217" s="1" t="str">
        <v>Payment</v>
      </c>
      <c r="E217" s="35">
        <v>-2354349.0099999998</v>
      </c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x14ac:dyDescent="0.3">
      <c r="D218" s="1" t="str">
        <v>Outword Transfer</v>
      </c>
      <c r="E218" s="35">
        <v>-10991124.859999996</v>
      </c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x14ac:dyDescent="0.3">
      <c r="D219" s="1" t="str">
        <v>Interest</v>
      </c>
      <c r="E219" s="35">
        <v>413900</v>
      </c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x14ac:dyDescent="0.3">
      <c r="D220" s="1" t="str">
        <v>Transfer</v>
      </c>
      <c r="E220" s="35">
        <v>-400000</v>
      </c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x14ac:dyDescent="0.3">
      <c r="D221" s="1" t="str">
        <v>FD</v>
      </c>
      <c r="E221" s="35">
        <v>-31000000</v>
      </c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x14ac:dyDescent="0.3">
      <c r="D222" s="1" t="str">
        <v>Balance COnfirmation Issued</v>
      </c>
      <c r="E222" s="35">
        <v>-111302488.13</v>
      </c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x14ac:dyDescent="0.3">
      <c r="D223" s="1" t="str">
        <v>Cash Withdrawal</v>
      </c>
      <c r="E223" s="35">
        <v>-56500</v>
      </c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x14ac:dyDescent="0.3">
      <c r="D224" s="1" t="str">
        <v>Bank Charges</v>
      </c>
      <c r="E224" s="35">
        <v>-2388.75</v>
      </c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4:27" x14ac:dyDescent="0.3">
      <c r="D225" s="1" t="str">
        <v>Chq. Withdrawal</v>
      </c>
      <c r="E225" s="35">
        <v>-401125</v>
      </c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4:27" x14ac:dyDescent="0.3">
      <c r="D226" s="1" t="str">
        <v>I/W Clearing Cheque</v>
      </c>
      <c r="E226" s="35">
        <v>-8062027</v>
      </c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4:27" x14ac:dyDescent="0.3">
      <c r="D227" s="1" t="str">
        <v>ACE Commodity Loan</v>
      </c>
      <c r="E227" s="35">
        <v>36900000</v>
      </c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4:27" x14ac:dyDescent="0.3">
      <c r="D228" s="1" t="str">
        <v>CHq Deposit</v>
      </c>
      <c r="E228" s="35">
        <v>85500000</v>
      </c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4:27" x14ac:dyDescent="0.3">
      <c r="D229" s="1" t="str">
        <v>Dewa</v>
      </c>
      <c r="E229" s="35">
        <v>1813.27</v>
      </c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4:27" x14ac:dyDescent="0.3">
      <c r="D230" s="1" t="str">
        <v>Redemption</v>
      </c>
      <c r="E230" s="35">
        <v>31000000</v>
      </c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4:27" x14ac:dyDescent="0.3">
      <c r="D231" s="1" t="str">
        <v>Refund</v>
      </c>
      <c r="E231" s="35">
        <v>18375</v>
      </c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4:27" x14ac:dyDescent="0.3">
      <c r="D232" s="1" t="str">
        <v>Sundry</v>
      </c>
      <c r="E232" s="35">
        <v>252202.77</v>
      </c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4:27" x14ac:dyDescent="0.3">
      <c r="D233" s="29" t="s">
        <v>8</v>
      </c>
      <c r="E233" s="36">
        <f>SUM(_xlfn.ANCHORARRAY(E215))</f>
        <v>1120331.2400000175</v>
      </c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4:27" x14ac:dyDescent="0.3">
      <c r="E234" s="18"/>
      <c r="F234" s="1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4:27" x14ac:dyDescent="0.3">
      <c r="D235" s="39" t="s">
        <v>392</v>
      </c>
      <c r="E235" s="43" t="s">
        <v>408</v>
      </c>
      <c r="F235" s="43" t="s">
        <v>409</v>
      </c>
    </row>
    <row r="236" spans="4:27" x14ac:dyDescent="0.3">
      <c r="D236" s="1" t="s">
        <v>402</v>
      </c>
      <c r="E236" s="40">
        <v>8000000</v>
      </c>
      <c r="F236" s="40"/>
    </row>
    <row r="237" spans="4:27" x14ac:dyDescent="0.3">
      <c r="D237" s="1" t="s">
        <v>395</v>
      </c>
      <c r="E237" s="40"/>
      <c r="F237" s="40">
        <v>-21350</v>
      </c>
    </row>
    <row r="238" spans="4:27" x14ac:dyDescent="0.3">
      <c r="D238" s="1" t="s">
        <v>394</v>
      </c>
      <c r="E238" s="40"/>
      <c r="F238" s="40">
        <v>-7539.84</v>
      </c>
    </row>
    <row r="239" spans="4:27" x14ac:dyDescent="0.3">
      <c r="D239" s="1" t="s">
        <v>396</v>
      </c>
      <c r="E239" s="40"/>
      <c r="F239" s="40">
        <v>-137871.20000000001</v>
      </c>
    </row>
    <row r="240" spans="4:27" x14ac:dyDescent="0.3">
      <c r="D240" s="1" t="s">
        <v>403</v>
      </c>
      <c r="E240" s="40">
        <v>3000000</v>
      </c>
      <c r="F240" s="40"/>
    </row>
    <row r="241" spans="4:6" x14ac:dyDescent="0.3">
      <c r="D241" s="1" t="s">
        <v>393</v>
      </c>
      <c r="E241" s="40"/>
      <c r="F241" s="40">
        <v>-2187587.9700000002</v>
      </c>
    </row>
    <row r="242" spans="4:6" ht="15" thickBot="1" x14ac:dyDescent="0.35">
      <c r="D242" s="28" t="s">
        <v>407</v>
      </c>
      <c r="E242" s="41">
        <f>SUBTOTAL(9,E236:E241)</f>
        <v>11000000</v>
      </c>
      <c r="F242" s="41">
        <f>SUBTOTAL(9,F236:F241)</f>
        <v>-2354349.0100000002</v>
      </c>
    </row>
    <row r="243" spans="4:6" ht="15" thickTop="1" x14ac:dyDescent="0.3">
      <c r="E243" s="42">
        <f>E242-E216</f>
        <v>0</v>
      </c>
      <c r="F243" s="42">
        <f>F242-E217</f>
        <v>0</v>
      </c>
    </row>
  </sheetData>
  <printOptions horizontalCentered="1" verticalCentered="1" gridLines="1"/>
  <pageMargins left="0.15748031496062992" right="0.15748031496062992" top="0.47244094488188981" bottom="0.43307086614173229" header="0.31496062992125984" footer="0.31496062992125984"/>
  <pageSetup paperSize="9" scale="65" orientation="landscape" r:id="rId1"/>
  <headerFooter>
    <oddFooter>Page &amp;P of &amp;N</oddFooter>
  </headerFooter>
  <ignoredErrors>
    <ignoredError sqref="G9:H210 H211 H8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4927-783B-47AE-9AF6-A0C80634B0CA}">
  <dimension ref="A1:V101"/>
  <sheetViews>
    <sheetView tabSelected="1" zoomScaleNormal="100" zoomScaleSheetLayoutView="100" workbookViewId="0">
      <pane xSplit="5" ySplit="6" topLeftCell="N45" activePane="bottomRight" state="frozen"/>
      <selection pane="topRight" activeCell="H1" sqref="H1"/>
      <selection pane="bottomLeft" activeCell="A7" sqref="A7"/>
      <selection pane="bottomRight" activeCell="O46" sqref="O46"/>
    </sheetView>
  </sheetViews>
  <sheetFormatPr defaultColWidth="9.109375" defaultRowHeight="14.4" x14ac:dyDescent="0.3"/>
  <cols>
    <col min="1" max="1" width="11.44140625" style="1" customWidth="1"/>
    <col min="2" max="2" width="63.5546875" style="1" customWidth="1"/>
    <col min="3" max="3" width="10.5546875" style="46" bestFit="1" customWidth="1"/>
    <col min="4" max="4" width="10.6640625" style="46" bestFit="1" customWidth="1"/>
    <col min="5" max="5" width="10.5546875" style="46" bestFit="1" customWidth="1"/>
    <col min="6" max="6" width="10.5546875" style="4" bestFit="1" customWidth="1"/>
    <col min="7" max="7" width="10.5546875" style="4" customWidth="1"/>
    <col min="8" max="8" width="8" style="4" bestFit="1" customWidth="1"/>
    <col min="9" max="9" width="5.109375" style="4" bestFit="1" customWidth="1"/>
    <col min="10" max="10" width="9.6640625" style="4" bestFit="1" customWidth="1"/>
    <col min="11" max="11" width="9.6640625" style="4" customWidth="1"/>
    <col min="12" max="12" width="11.88671875" style="4" customWidth="1"/>
    <col min="13" max="13" width="11.33203125" style="4" customWidth="1"/>
    <col min="14" max="14" width="12.109375" style="4" customWidth="1"/>
    <col min="15" max="15" width="31" style="4" customWidth="1"/>
    <col min="16" max="16" width="27.21875" style="4" customWidth="1"/>
    <col min="17" max="17" width="8.109375" style="4" bestFit="1" customWidth="1"/>
    <col min="18" max="18" width="16.33203125" style="4" customWidth="1"/>
    <col min="19" max="19" width="8.6640625" style="4" bestFit="1" customWidth="1"/>
    <col min="20" max="20" width="11.5546875" style="4" customWidth="1"/>
    <col min="21" max="21" width="11.5546875" style="4" hidden="1" customWidth="1"/>
    <col min="22" max="22" width="42.5546875" style="1" customWidth="1"/>
    <col min="23" max="23" width="11.33203125" style="1" bestFit="1" customWidth="1"/>
    <col min="24" max="16384" width="9.109375" style="1"/>
  </cols>
  <sheetData>
    <row r="1" spans="1:22" x14ac:dyDescent="0.3">
      <c r="A1" s="2" t="s">
        <v>410</v>
      </c>
    </row>
    <row r="2" spans="1:22" x14ac:dyDescent="0.3">
      <c r="A2" s="2" t="s">
        <v>412</v>
      </c>
    </row>
    <row r="3" spans="1:22" x14ac:dyDescent="0.3">
      <c r="A3" s="2" t="s">
        <v>411</v>
      </c>
    </row>
    <row r="4" spans="1:22" x14ac:dyDescent="0.3">
      <c r="A4" s="2" t="s">
        <v>454</v>
      </c>
    </row>
    <row r="5" spans="1:22" x14ac:dyDescent="0.3">
      <c r="A5" s="2"/>
    </row>
    <row r="6" spans="1:22" s="11" customFormat="1" ht="43.2" x14ac:dyDescent="0.3">
      <c r="A6" s="9" t="s">
        <v>0</v>
      </c>
      <c r="B6" s="10" t="s">
        <v>441</v>
      </c>
      <c r="C6" s="45" t="s">
        <v>2</v>
      </c>
      <c r="D6" s="45" t="s">
        <v>3</v>
      </c>
      <c r="E6" s="44" t="s">
        <v>4</v>
      </c>
      <c r="F6" s="13" t="s">
        <v>5</v>
      </c>
      <c r="G6" s="13" t="s">
        <v>491</v>
      </c>
      <c r="H6" s="13" t="s">
        <v>6</v>
      </c>
      <c r="I6" s="13" t="s">
        <v>450</v>
      </c>
      <c r="J6" s="13" t="s">
        <v>413</v>
      </c>
      <c r="K6" s="13" t="s">
        <v>493</v>
      </c>
      <c r="L6" s="13" t="s">
        <v>414</v>
      </c>
      <c r="M6" s="13" t="s">
        <v>451</v>
      </c>
      <c r="N6" s="13" t="s">
        <v>449</v>
      </c>
      <c r="O6" s="13" t="s">
        <v>452</v>
      </c>
      <c r="P6" s="13" t="s">
        <v>453</v>
      </c>
      <c r="Q6" s="13"/>
      <c r="R6" s="13"/>
      <c r="S6" s="13"/>
      <c r="T6" s="26"/>
      <c r="U6" s="56"/>
      <c r="V6" s="24"/>
    </row>
    <row r="7" spans="1:22" s="2" customFormat="1" x14ac:dyDescent="0.3">
      <c r="A7" s="23">
        <v>45901</v>
      </c>
      <c r="B7" s="7" t="s">
        <v>5</v>
      </c>
      <c r="C7" s="61">
        <v>3593941.67</v>
      </c>
      <c r="D7" s="61"/>
      <c r="E7" s="62">
        <f>C7</f>
        <v>3593941.67</v>
      </c>
      <c r="F7" s="61">
        <f>C7</f>
        <v>3593941.67</v>
      </c>
      <c r="G7" s="61"/>
      <c r="H7" s="61"/>
      <c r="I7" s="61"/>
      <c r="J7" s="61"/>
      <c r="K7" s="61"/>
      <c r="L7" s="61"/>
      <c r="M7" s="61"/>
      <c r="N7" s="61"/>
      <c r="O7" s="73"/>
      <c r="P7" s="61"/>
      <c r="Q7" s="61"/>
      <c r="R7" s="61"/>
      <c r="S7" s="61"/>
      <c r="T7" s="61"/>
      <c r="U7" s="27">
        <f>SUM(F7:T7)+D7-C7</f>
        <v>0</v>
      </c>
      <c r="V7" s="57"/>
    </row>
    <row r="8" spans="1:22" x14ac:dyDescent="0.3">
      <c r="A8" s="23">
        <v>45901</v>
      </c>
      <c r="B8" s="7" t="s">
        <v>455</v>
      </c>
      <c r="C8" s="63"/>
      <c r="D8" s="63">
        <v>1.25</v>
      </c>
      <c r="E8" s="62">
        <f>E7+C8-D8</f>
        <v>3593940.42</v>
      </c>
      <c r="F8" s="63"/>
      <c r="G8" s="63"/>
      <c r="H8" s="63"/>
      <c r="I8" s="63">
        <f>-D8</f>
        <v>-1.25</v>
      </c>
      <c r="J8" s="63"/>
      <c r="K8" s="63"/>
      <c r="L8" s="63"/>
      <c r="M8" s="63"/>
      <c r="N8" s="63"/>
      <c r="O8" s="71"/>
      <c r="P8" s="72"/>
      <c r="Q8" s="63"/>
      <c r="R8" s="63"/>
      <c r="S8" s="63"/>
      <c r="T8" s="63"/>
      <c r="U8" s="27"/>
      <c r="V8" s="58"/>
    </row>
    <row r="9" spans="1:22" x14ac:dyDescent="0.3">
      <c r="A9" s="23">
        <v>45901</v>
      </c>
      <c r="B9" s="7" t="s">
        <v>455</v>
      </c>
      <c r="C9" s="63"/>
      <c r="D9" s="63">
        <v>1.25</v>
      </c>
      <c r="E9" s="62">
        <f t="shared" ref="E9:E52" si="0">E8+C9-D9</f>
        <v>3593939.17</v>
      </c>
      <c r="F9" s="63"/>
      <c r="G9" s="63"/>
      <c r="H9" s="63"/>
      <c r="I9" s="63">
        <f>-D9</f>
        <v>-1.25</v>
      </c>
      <c r="J9" s="63"/>
      <c r="K9" s="63"/>
      <c r="L9" s="63"/>
      <c r="M9" s="63"/>
      <c r="N9" s="63"/>
      <c r="O9" s="70"/>
      <c r="P9" s="63"/>
      <c r="Q9" s="63"/>
      <c r="R9" s="63"/>
      <c r="S9" s="63"/>
      <c r="T9" s="63"/>
      <c r="U9" s="27"/>
      <c r="V9" s="58"/>
    </row>
    <row r="10" spans="1:22" x14ac:dyDescent="0.3">
      <c r="A10" s="23">
        <v>45901</v>
      </c>
      <c r="B10" s="7" t="s">
        <v>456</v>
      </c>
      <c r="C10" s="63"/>
      <c r="D10" s="63">
        <v>25</v>
      </c>
      <c r="E10" s="62">
        <f t="shared" si="0"/>
        <v>3593914.17</v>
      </c>
      <c r="F10" s="63"/>
      <c r="G10" s="63"/>
      <c r="H10" s="63">
        <f>-D10</f>
        <v>-25</v>
      </c>
      <c r="I10" s="63"/>
      <c r="J10" s="63"/>
      <c r="K10" s="63"/>
      <c r="L10" s="63"/>
      <c r="M10" s="63"/>
      <c r="N10" s="63"/>
      <c r="O10" s="70"/>
      <c r="P10" s="63"/>
      <c r="Q10" s="63"/>
      <c r="R10" s="63"/>
      <c r="S10" s="63"/>
      <c r="T10" s="63"/>
      <c r="U10" s="27"/>
      <c r="V10" s="58"/>
    </row>
    <row r="11" spans="1:22" ht="43.2" x14ac:dyDescent="0.3">
      <c r="A11" s="23">
        <v>45901</v>
      </c>
      <c r="B11" s="7" t="s">
        <v>457</v>
      </c>
      <c r="C11" s="63"/>
      <c r="D11" s="63">
        <v>147446.94</v>
      </c>
      <c r="E11" s="62">
        <f t="shared" si="0"/>
        <v>3446467.23</v>
      </c>
      <c r="F11" s="63"/>
      <c r="G11" s="63"/>
      <c r="H11" s="63"/>
      <c r="I11" s="63"/>
      <c r="J11" s="63"/>
      <c r="K11" s="63">
        <f>-D11</f>
        <v>-147446.94</v>
      </c>
      <c r="L11" s="63"/>
      <c r="M11" s="63"/>
      <c r="N11" s="63"/>
      <c r="O11" s="70" t="s">
        <v>507</v>
      </c>
      <c r="P11" s="72" t="s">
        <v>508</v>
      </c>
      <c r="Q11" s="63"/>
      <c r="R11" s="63"/>
      <c r="S11" s="63"/>
      <c r="T11" s="63"/>
      <c r="U11" s="27"/>
      <c r="V11" s="58"/>
    </row>
    <row r="12" spans="1:22" x14ac:dyDescent="0.3">
      <c r="A12" s="23">
        <v>45901</v>
      </c>
      <c r="B12" s="7" t="s">
        <v>456</v>
      </c>
      <c r="C12" s="63"/>
      <c r="D12" s="63">
        <v>25</v>
      </c>
      <c r="E12" s="62">
        <f t="shared" si="0"/>
        <v>3446442.23</v>
      </c>
      <c r="F12" s="63"/>
      <c r="G12" s="63"/>
      <c r="H12" s="63">
        <f>-D12</f>
        <v>-25</v>
      </c>
      <c r="I12" s="63"/>
      <c r="J12" s="63"/>
      <c r="K12" s="63"/>
      <c r="L12" s="63"/>
      <c r="M12" s="63"/>
      <c r="N12" s="63"/>
      <c r="O12" s="70"/>
      <c r="P12" s="63"/>
      <c r="Q12" s="63"/>
      <c r="R12" s="63"/>
      <c r="S12" s="63"/>
      <c r="T12" s="63"/>
      <c r="U12" s="27"/>
      <c r="V12" s="58"/>
    </row>
    <row r="13" spans="1:22" x14ac:dyDescent="0.3">
      <c r="A13" s="23">
        <v>45902</v>
      </c>
      <c r="B13" s="7" t="s">
        <v>458</v>
      </c>
      <c r="C13" s="63">
        <v>25</v>
      </c>
      <c r="D13" s="63"/>
      <c r="E13" s="62">
        <f t="shared" si="0"/>
        <v>3446467.23</v>
      </c>
      <c r="F13" s="63"/>
      <c r="G13" s="63"/>
      <c r="H13" s="63">
        <f>C13</f>
        <v>25</v>
      </c>
      <c r="I13" s="63"/>
      <c r="J13" s="63"/>
      <c r="K13" s="63"/>
      <c r="L13" s="63"/>
      <c r="M13" s="63"/>
      <c r="N13" s="63"/>
      <c r="O13" s="70"/>
      <c r="P13" s="63"/>
      <c r="Q13" s="63"/>
      <c r="R13" s="63"/>
      <c r="S13" s="63"/>
      <c r="T13" s="63"/>
      <c r="U13" s="27"/>
      <c r="V13" s="58"/>
    </row>
    <row r="14" spans="1:22" x14ac:dyDescent="0.3">
      <c r="A14" s="23">
        <v>45902</v>
      </c>
      <c r="B14" s="7" t="s">
        <v>459</v>
      </c>
      <c r="C14" s="63">
        <v>1.25</v>
      </c>
      <c r="D14" s="63"/>
      <c r="E14" s="62">
        <f t="shared" si="0"/>
        <v>3446468.48</v>
      </c>
      <c r="F14" s="63"/>
      <c r="G14" s="63"/>
      <c r="H14" s="63"/>
      <c r="I14" s="63">
        <f>C14</f>
        <v>1.25</v>
      </c>
      <c r="J14" s="63"/>
      <c r="K14" s="63"/>
      <c r="L14" s="63"/>
      <c r="M14" s="63"/>
      <c r="N14" s="63"/>
      <c r="O14" s="71"/>
      <c r="P14" s="63"/>
      <c r="Q14" s="63"/>
      <c r="R14" s="63"/>
      <c r="S14" s="63"/>
      <c r="T14" s="63"/>
      <c r="U14" s="27"/>
      <c r="V14" s="58"/>
    </row>
    <row r="15" spans="1:22" ht="28.8" x14ac:dyDescent="0.3">
      <c r="A15" s="23">
        <v>45902</v>
      </c>
      <c r="B15" s="7" t="s">
        <v>460</v>
      </c>
      <c r="C15" s="63">
        <v>2787</v>
      </c>
      <c r="D15" s="63"/>
      <c r="E15" s="62">
        <f t="shared" si="0"/>
        <v>3449255.48</v>
      </c>
      <c r="F15" s="63"/>
      <c r="G15" s="63">
        <f>C15</f>
        <v>2787</v>
      </c>
      <c r="H15" s="63"/>
      <c r="I15" s="63"/>
      <c r="J15" s="63"/>
      <c r="K15" s="63"/>
      <c r="L15" s="63"/>
      <c r="M15" s="63"/>
      <c r="N15" s="63"/>
      <c r="O15" s="71" t="s">
        <v>491</v>
      </c>
      <c r="P15" s="63"/>
      <c r="Q15" s="63"/>
      <c r="R15" s="63"/>
      <c r="S15" s="63"/>
      <c r="T15" s="63"/>
      <c r="U15" s="27"/>
      <c r="V15" s="58"/>
    </row>
    <row r="16" spans="1:22" ht="43.2" x14ac:dyDescent="0.3">
      <c r="A16" s="23">
        <v>45902</v>
      </c>
      <c r="B16" s="7" t="s">
        <v>461</v>
      </c>
      <c r="C16" s="63"/>
      <c r="D16" s="63">
        <v>10003</v>
      </c>
      <c r="E16" s="62">
        <f t="shared" si="0"/>
        <v>3439252.48</v>
      </c>
      <c r="F16" s="63"/>
      <c r="G16" s="63"/>
      <c r="H16" s="63"/>
      <c r="I16" s="63"/>
      <c r="J16" s="63">
        <f>-D16</f>
        <v>-10003</v>
      </c>
      <c r="K16" s="63"/>
      <c r="L16" s="63"/>
      <c r="M16" s="63"/>
      <c r="N16" s="63"/>
      <c r="O16" s="72" t="s">
        <v>506</v>
      </c>
      <c r="P16" s="72"/>
      <c r="Q16" s="63"/>
      <c r="R16" s="63"/>
      <c r="S16" s="63"/>
      <c r="T16" s="63"/>
      <c r="U16" s="27"/>
      <c r="V16" s="58"/>
    </row>
    <row r="17" spans="1:22" x14ac:dyDescent="0.3">
      <c r="A17" s="23">
        <v>45908</v>
      </c>
      <c r="B17" s="7" t="s">
        <v>455</v>
      </c>
      <c r="C17" s="63"/>
      <c r="D17" s="63">
        <v>1.25</v>
      </c>
      <c r="E17" s="62">
        <f t="shared" si="0"/>
        <v>3439251.23</v>
      </c>
      <c r="F17" s="63"/>
      <c r="G17" s="63"/>
      <c r="H17" s="63"/>
      <c r="I17" s="63">
        <f>-D17</f>
        <v>-1.25</v>
      </c>
      <c r="J17" s="63"/>
      <c r="K17" s="63"/>
      <c r="L17" s="63"/>
      <c r="M17" s="63"/>
      <c r="N17" s="63"/>
      <c r="O17" s="71"/>
      <c r="P17" s="63"/>
      <c r="Q17" s="63"/>
      <c r="R17" s="63"/>
      <c r="S17" s="63"/>
      <c r="T17" s="63"/>
      <c r="U17" s="27"/>
      <c r="V17" s="58"/>
    </row>
    <row r="18" spans="1:22" x14ac:dyDescent="0.3">
      <c r="A18" s="23">
        <v>45908</v>
      </c>
      <c r="B18" s="7" t="s">
        <v>455</v>
      </c>
      <c r="C18" s="63"/>
      <c r="D18" s="63">
        <v>1.25</v>
      </c>
      <c r="E18" s="62">
        <f t="shared" si="0"/>
        <v>3439249.98</v>
      </c>
      <c r="F18" s="63"/>
      <c r="G18" s="63"/>
      <c r="H18" s="63"/>
      <c r="I18" s="63">
        <f>-D18</f>
        <v>-1.25</v>
      </c>
      <c r="J18" s="63"/>
      <c r="K18" s="63"/>
      <c r="L18" s="63"/>
      <c r="M18" s="63"/>
      <c r="N18" s="63"/>
      <c r="O18" s="70"/>
      <c r="P18" s="63"/>
      <c r="Q18" s="63"/>
      <c r="R18" s="63"/>
      <c r="S18" s="63"/>
      <c r="T18" s="63"/>
      <c r="U18" s="27"/>
      <c r="V18" s="58"/>
    </row>
    <row r="19" spans="1:22" x14ac:dyDescent="0.3">
      <c r="A19" s="23">
        <v>45908</v>
      </c>
      <c r="B19" s="7" t="s">
        <v>456</v>
      </c>
      <c r="C19" s="63"/>
      <c r="D19" s="63">
        <v>25</v>
      </c>
      <c r="E19" s="62">
        <f t="shared" si="0"/>
        <v>3439224.98</v>
      </c>
      <c r="F19" s="63"/>
      <c r="G19" s="63"/>
      <c r="H19" s="63">
        <f>-D19</f>
        <v>-25</v>
      </c>
      <c r="I19" s="63"/>
      <c r="J19" s="63"/>
      <c r="K19" s="63"/>
      <c r="L19" s="63"/>
      <c r="M19" s="63"/>
      <c r="N19" s="63"/>
      <c r="O19" s="70"/>
      <c r="P19" s="63"/>
      <c r="Q19" s="63"/>
      <c r="R19" s="63"/>
      <c r="S19" s="63"/>
      <c r="T19" s="63"/>
      <c r="U19" s="27"/>
      <c r="V19" s="58"/>
    </row>
    <row r="20" spans="1:22" ht="43.2" x14ac:dyDescent="0.3">
      <c r="A20" s="23">
        <v>45908</v>
      </c>
      <c r="B20" s="7" t="s">
        <v>462</v>
      </c>
      <c r="C20" s="63"/>
      <c r="D20" s="63">
        <v>833.79</v>
      </c>
      <c r="E20" s="62">
        <f t="shared" si="0"/>
        <v>3438391.19</v>
      </c>
      <c r="F20" s="63"/>
      <c r="G20" s="63"/>
      <c r="H20" s="63"/>
      <c r="I20" s="63"/>
      <c r="J20" s="63"/>
      <c r="K20" s="63"/>
      <c r="L20" s="63"/>
      <c r="M20" s="63"/>
      <c r="N20" s="63"/>
      <c r="O20" s="70" t="s">
        <v>509</v>
      </c>
      <c r="P20" s="72" t="s">
        <v>510</v>
      </c>
      <c r="Q20" s="63"/>
      <c r="R20" s="63"/>
      <c r="S20" s="63"/>
      <c r="T20" s="63"/>
      <c r="U20" s="27"/>
      <c r="V20" s="58"/>
    </row>
    <row r="21" spans="1:22" x14ac:dyDescent="0.3">
      <c r="A21" s="23">
        <v>45908</v>
      </c>
      <c r="B21" s="7" t="s">
        <v>456</v>
      </c>
      <c r="C21" s="63"/>
      <c r="D21" s="63">
        <v>25</v>
      </c>
      <c r="E21" s="62">
        <f t="shared" si="0"/>
        <v>3438366.19</v>
      </c>
      <c r="F21" s="63"/>
      <c r="G21" s="63"/>
      <c r="H21" s="63">
        <f>-D21</f>
        <v>-25</v>
      </c>
      <c r="I21" s="63"/>
      <c r="J21" s="63"/>
      <c r="K21" s="63"/>
      <c r="L21" s="63"/>
      <c r="M21" s="63"/>
      <c r="N21" s="63"/>
      <c r="O21" s="70"/>
      <c r="P21" s="63"/>
      <c r="Q21" s="63"/>
      <c r="R21" s="63"/>
      <c r="S21" s="63"/>
      <c r="T21" s="63"/>
      <c r="U21" s="27"/>
      <c r="V21" s="58"/>
    </row>
    <row r="22" spans="1:22" x14ac:dyDescent="0.3">
      <c r="A22" s="23">
        <v>45908</v>
      </c>
      <c r="B22" s="7" t="s">
        <v>455</v>
      </c>
      <c r="C22" s="63"/>
      <c r="D22" s="63">
        <v>0.05</v>
      </c>
      <c r="E22" s="62">
        <f t="shared" si="0"/>
        <v>3438366.14</v>
      </c>
      <c r="F22" s="63"/>
      <c r="G22" s="63"/>
      <c r="H22" s="63"/>
      <c r="I22" s="63"/>
      <c r="J22" s="63"/>
      <c r="K22" s="63"/>
      <c r="L22" s="63"/>
      <c r="M22" s="63"/>
      <c r="N22" s="63"/>
      <c r="O22" s="70"/>
      <c r="P22" s="63"/>
      <c r="Q22" s="63"/>
      <c r="R22" s="63"/>
      <c r="S22" s="63"/>
      <c r="T22" s="63"/>
      <c r="U22" s="27"/>
      <c r="V22" s="58"/>
    </row>
    <row r="23" spans="1:22" ht="43.2" x14ac:dyDescent="0.3">
      <c r="A23" s="23">
        <v>45908</v>
      </c>
      <c r="B23" s="7" t="s">
        <v>463</v>
      </c>
      <c r="C23" s="63"/>
      <c r="D23" s="63">
        <v>59888.9</v>
      </c>
      <c r="E23" s="62">
        <f t="shared" si="0"/>
        <v>3378477.24</v>
      </c>
      <c r="F23" s="63"/>
      <c r="G23" s="63"/>
      <c r="H23" s="63"/>
      <c r="I23" s="63"/>
      <c r="J23" s="63"/>
      <c r="K23" s="63"/>
      <c r="L23" s="63"/>
      <c r="M23" s="63"/>
      <c r="N23" s="63"/>
      <c r="O23" s="70" t="s">
        <v>490</v>
      </c>
      <c r="P23" s="63" t="s">
        <v>494</v>
      </c>
      <c r="Q23" s="63"/>
      <c r="R23" s="63"/>
      <c r="S23" s="63"/>
      <c r="T23" s="63"/>
      <c r="U23" s="27"/>
      <c r="V23" s="58"/>
    </row>
    <row r="24" spans="1:22" x14ac:dyDescent="0.3">
      <c r="A24" s="23">
        <v>45908</v>
      </c>
      <c r="B24" s="7" t="s">
        <v>456</v>
      </c>
      <c r="C24" s="63"/>
      <c r="D24" s="63">
        <v>1</v>
      </c>
      <c r="E24" s="62">
        <f t="shared" si="0"/>
        <v>3378476.24</v>
      </c>
      <c r="F24" s="63"/>
      <c r="G24" s="63"/>
      <c r="H24" s="63"/>
      <c r="I24" s="63"/>
      <c r="J24" s="63"/>
      <c r="K24" s="63"/>
      <c r="L24" s="63"/>
      <c r="M24" s="63"/>
      <c r="N24" s="63"/>
      <c r="O24" s="71"/>
      <c r="P24" s="63"/>
      <c r="Q24" s="63"/>
      <c r="R24" s="63"/>
      <c r="S24" s="63"/>
      <c r="T24" s="63"/>
      <c r="U24" s="27"/>
      <c r="V24" s="58"/>
    </row>
    <row r="25" spans="1:22" ht="28.8" x14ac:dyDescent="0.3">
      <c r="A25" s="23">
        <v>45909</v>
      </c>
      <c r="B25" s="7" t="s">
        <v>465</v>
      </c>
      <c r="C25" s="63">
        <v>9156</v>
      </c>
      <c r="D25" s="63"/>
      <c r="E25" s="62">
        <f t="shared" si="0"/>
        <v>3387632.24</v>
      </c>
      <c r="F25" s="63"/>
      <c r="G25" s="63"/>
      <c r="H25" s="63"/>
      <c r="I25" s="63"/>
      <c r="J25" s="63"/>
      <c r="K25" s="63"/>
      <c r="L25" s="63"/>
      <c r="M25" s="63"/>
      <c r="N25" s="63"/>
      <c r="O25" s="71" t="s">
        <v>511</v>
      </c>
      <c r="P25" s="63"/>
      <c r="Q25" s="63"/>
      <c r="R25" s="63"/>
      <c r="S25" s="63"/>
      <c r="T25" s="63"/>
      <c r="U25" s="27"/>
      <c r="V25" s="58"/>
    </row>
    <row r="26" spans="1:22" ht="28.8" x14ac:dyDescent="0.3">
      <c r="A26" s="23">
        <v>45909</v>
      </c>
      <c r="B26" s="7" t="s">
        <v>464</v>
      </c>
      <c r="C26" s="79">
        <v>18312</v>
      </c>
      <c r="D26" s="63"/>
      <c r="E26" s="62">
        <f t="shared" si="0"/>
        <v>3405944.24</v>
      </c>
      <c r="F26" s="63"/>
      <c r="G26" s="63"/>
      <c r="H26" s="63"/>
      <c r="I26" s="63"/>
      <c r="J26" s="63"/>
      <c r="K26" s="63"/>
      <c r="L26" s="63"/>
      <c r="M26" s="63"/>
      <c r="N26" s="63"/>
      <c r="O26" s="71" t="s">
        <v>512</v>
      </c>
      <c r="P26" s="63"/>
      <c r="Q26" s="63"/>
      <c r="R26" s="63"/>
      <c r="S26" s="63"/>
      <c r="T26" s="63"/>
      <c r="U26" s="27"/>
      <c r="V26" s="58"/>
    </row>
    <row r="27" spans="1:22" ht="57.6" x14ac:dyDescent="0.3">
      <c r="A27" s="23">
        <v>45909</v>
      </c>
      <c r="B27" s="7" t="s">
        <v>466</v>
      </c>
      <c r="C27" s="63"/>
      <c r="D27" s="63">
        <v>2500</v>
      </c>
      <c r="E27" s="62">
        <f t="shared" si="0"/>
        <v>3403444.24</v>
      </c>
      <c r="F27" s="63"/>
      <c r="G27" s="63"/>
      <c r="H27" s="63"/>
      <c r="I27" s="63"/>
      <c r="J27" s="63"/>
      <c r="K27" s="63"/>
      <c r="L27" s="63"/>
      <c r="M27" s="63"/>
      <c r="N27" s="63"/>
      <c r="O27" s="71" t="s">
        <v>513</v>
      </c>
      <c r="P27" s="63" t="s">
        <v>515</v>
      </c>
      <c r="Q27" s="63"/>
      <c r="R27" s="63"/>
      <c r="S27" s="63"/>
      <c r="T27" s="63"/>
      <c r="U27" s="27"/>
      <c r="V27" s="58"/>
    </row>
    <row r="28" spans="1:22" ht="57.6" x14ac:dyDescent="0.3">
      <c r="A28" s="23">
        <v>45910</v>
      </c>
      <c r="B28" s="7" t="s">
        <v>467</v>
      </c>
      <c r="C28" s="63">
        <v>51305.64</v>
      </c>
      <c r="D28" s="63"/>
      <c r="E28" s="62">
        <f t="shared" si="0"/>
        <v>3454749.8800000004</v>
      </c>
      <c r="F28" s="63"/>
      <c r="G28" s="63"/>
      <c r="H28" s="63"/>
      <c r="I28" s="63"/>
      <c r="J28" s="63"/>
      <c r="K28" s="63"/>
      <c r="L28" s="63"/>
      <c r="M28" s="63"/>
      <c r="N28" s="63"/>
      <c r="O28" s="70" t="s">
        <v>495</v>
      </c>
      <c r="P28" s="63"/>
      <c r="Q28" s="63"/>
      <c r="R28" s="63"/>
      <c r="S28" s="63"/>
      <c r="T28" s="63"/>
      <c r="U28" s="27"/>
      <c r="V28" s="58"/>
    </row>
    <row r="29" spans="1:22" ht="43.2" x14ac:dyDescent="0.3">
      <c r="A29" s="23">
        <v>45912</v>
      </c>
      <c r="B29" s="7" t="s">
        <v>468</v>
      </c>
      <c r="C29" s="63"/>
      <c r="D29" s="63">
        <v>4500</v>
      </c>
      <c r="E29" s="62">
        <f t="shared" si="0"/>
        <v>3450249.8800000004</v>
      </c>
      <c r="F29" s="63"/>
      <c r="G29" s="63"/>
      <c r="H29" s="63"/>
      <c r="I29" s="63"/>
      <c r="J29" s="63"/>
      <c r="K29" s="63"/>
      <c r="L29" s="63"/>
      <c r="M29" s="63"/>
      <c r="N29" s="63"/>
      <c r="O29" s="77" t="s">
        <v>514</v>
      </c>
      <c r="P29" s="63" t="s">
        <v>516</v>
      </c>
      <c r="Q29" s="63"/>
      <c r="R29" s="63"/>
      <c r="S29" s="63"/>
      <c r="T29" s="63"/>
      <c r="U29" s="27"/>
      <c r="V29" s="58"/>
    </row>
    <row r="30" spans="1:22" ht="57.6" x14ac:dyDescent="0.3">
      <c r="A30" s="23">
        <v>45915</v>
      </c>
      <c r="B30" s="7" t="s">
        <v>469</v>
      </c>
      <c r="C30" s="63">
        <v>22710.36</v>
      </c>
      <c r="D30" s="63"/>
      <c r="E30" s="62">
        <f t="shared" si="0"/>
        <v>3472960.24</v>
      </c>
      <c r="F30" s="63"/>
      <c r="G30" s="63"/>
      <c r="H30" s="63"/>
      <c r="I30" s="63"/>
      <c r="J30" s="63"/>
      <c r="K30" s="63"/>
      <c r="L30" s="63"/>
      <c r="M30" s="63"/>
      <c r="N30" s="63"/>
      <c r="O30" s="70" t="s">
        <v>498</v>
      </c>
      <c r="P30" s="63"/>
      <c r="Q30" s="63"/>
      <c r="R30" s="63"/>
      <c r="S30" s="63"/>
      <c r="T30" s="63"/>
      <c r="U30" s="27"/>
      <c r="V30" s="58"/>
    </row>
    <row r="31" spans="1:22" ht="43.2" x14ac:dyDescent="0.3">
      <c r="A31" s="23">
        <v>45915</v>
      </c>
      <c r="B31" s="7" t="s">
        <v>470</v>
      </c>
      <c r="C31" s="63"/>
      <c r="D31" s="63">
        <v>15000</v>
      </c>
      <c r="E31" s="62">
        <f t="shared" si="0"/>
        <v>3457960.24</v>
      </c>
      <c r="F31" s="63"/>
      <c r="G31" s="63"/>
      <c r="H31" s="63"/>
      <c r="I31" s="63"/>
      <c r="J31" s="63"/>
      <c r="K31" s="63"/>
      <c r="L31" s="63"/>
      <c r="M31" s="63"/>
      <c r="N31" s="63"/>
      <c r="O31" s="70" t="s">
        <v>518</v>
      </c>
      <c r="P31" s="63" t="s">
        <v>517</v>
      </c>
      <c r="Q31" s="63"/>
      <c r="R31" s="63"/>
      <c r="S31" s="63"/>
      <c r="T31" s="63"/>
      <c r="U31" s="27"/>
      <c r="V31" s="58"/>
    </row>
    <row r="32" spans="1:22" ht="43.2" x14ac:dyDescent="0.3">
      <c r="A32" s="23">
        <v>45915</v>
      </c>
      <c r="B32" s="7" t="s">
        <v>471</v>
      </c>
      <c r="C32" s="63"/>
      <c r="D32" s="63">
        <v>3000</v>
      </c>
      <c r="E32" s="62">
        <f t="shared" si="0"/>
        <v>3454960.24</v>
      </c>
      <c r="F32" s="63"/>
      <c r="G32" s="63"/>
      <c r="H32" s="63"/>
      <c r="I32" s="63"/>
      <c r="J32" s="63"/>
      <c r="K32" s="63"/>
      <c r="L32" s="63"/>
      <c r="M32" s="63"/>
      <c r="N32" s="63"/>
      <c r="O32" s="71" t="s">
        <v>519</v>
      </c>
      <c r="P32" s="63" t="s">
        <v>520</v>
      </c>
      <c r="Q32" s="63"/>
      <c r="R32" s="63"/>
      <c r="S32" s="63"/>
      <c r="T32" s="63"/>
      <c r="U32" s="27"/>
      <c r="V32" s="58"/>
    </row>
    <row r="33" spans="1:22" ht="57.6" x14ac:dyDescent="0.3">
      <c r="A33" s="23">
        <v>45916</v>
      </c>
      <c r="B33" s="7" t="s">
        <v>472</v>
      </c>
      <c r="C33" s="63">
        <v>51305.64</v>
      </c>
      <c r="D33" s="63"/>
      <c r="E33" s="62">
        <f t="shared" si="0"/>
        <v>3506265.8800000004</v>
      </c>
      <c r="F33" s="63"/>
      <c r="G33" s="63"/>
      <c r="H33" s="63"/>
      <c r="I33" s="63"/>
      <c r="J33" s="63"/>
      <c r="K33" s="63"/>
      <c r="L33" s="63"/>
      <c r="M33" s="63"/>
      <c r="N33" s="63"/>
      <c r="O33" s="70" t="s">
        <v>495</v>
      </c>
      <c r="P33" s="63"/>
      <c r="Q33" s="63"/>
      <c r="R33" s="63"/>
      <c r="S33" s="63"/>
      <c r="T33" s="63"/>
      <c r="U33" s="27"/>
      <c r="V33" s="58"/>
    </row>
    <row r="34" spans="1:22" ht="28.8" x14ac:dyDescent="0.3">
      <c r="A34" s="23">
        <v>45916</v>
      </c>
      <c r="B34" s="7" t="s">
        <v>473</v>
      </c>
      <c r="C34" s="79">
        <v>18312</v>
      </c>
      <c r="D34" s="63"/>
      <c r="E34" s="62">
        <f t="shared" si="0"/>
        <v>3524577.8800000004</v>
      </c>
      <c r="F34" s="63"/>
      <c r="G34" s="63"/>
      <c r="H34" s="63"/>
      <c r="I34" s="63"/>
      <c r="J34" s="63"/>
      <c r="K34" s="63"/>
      <c r="L34" s="63"/>
      <c r="M34" s="63"/>
      <c r="N34" s="63"/>
      <c r="O34" s="77" t="s">
        <v>521</v>
      </c>
      <c r="P34" s="63"/>
      <c r="Q34" s="63"/>
      <c r="R34" s="63"/>
      <c r="S34" s="63"/>
      <c r="T34" s="63"/>
      <c r="U34" s="27"/>
      <c r="V34" s="58"/>
    </row>
    <row r="35" spans="1:22" ht="57.6" x14ac:dyDescent="0.3">
      <c r="A35" s="23">
        <v>45917</v>
      </c>
      <c r="B35" s="7" t="s">
        <v>474</v>
      </c>
      <c r="C35" s="63">
        <v>19292.77</v>
      </c>
      <c r="D35" s="63"/>
      <c r="E35" s="62">
        <f t="shared" si="0"/>
        <v>3543870.6500000004</v>
      </c>
      <c r="F35" s="63"/>
      <c r="G35" s="63"/>
      <c r="H35" s="63"/>
      <c r="I35" s="63"/>
      <c r="J35" s="63"/>
      <c r="K35" s="63"/>
      <c r="L35" s="63"/>
      <c r="M35" s="63"/>
      <c r="N35" s="63"/>
      <c r="O35" s="70" t="s">
        <v>495</v>
      </c>
      <c r="P35" s="63"/>
      <c r="Q35" s="63"/>
      <c r="R35" s="63"/>
      <c r="S35" s="63"/>
      <c r="T35" s="63"/>
      <c r="U35" s="27"/>
      <c r="V35" s="58"/>
    </row>
    <row r="36" spans="1:22" ht="57.6" x14ac:dyDescent="0.3">
      <c r="A36" s="23">
        <v>45918</v>
      </c>
      <c r="B36" s="7" t="s">
        <v>475</v>
      </c>
      <c r="C36" s="63"/>
      <c r="D36" s="63">
        <v>6300</v>
      </c>
      <c r="E36" s="62">
        <f t="shared" si="0"/>
        <v>3537570.6500000004</v>
      </c>
      <c r="F36" s="63"/>
      <c r="G36" s="63"/>
      <c r="H36" s="63"/>
      <c r="I36" s="63"/>
      <c r="J36" s="63"/>
      <c r="K36" s="63"/>
      <c r="L36" s="63"/>
      <c r="M36" s="63"/>
      <c r="N36" s="63"/>
      <c r="O36" s="70" t="s">
        <v>490</v>
      </c>
      <c r="P36" s="63" t="s">
        <v>494</v>
      </c>
      <c r="Q36" s="63"/>
      <c r="R36" s="63"/>
      <c r="S36" s="63"/>
      <c r="T36" s="63"/>
      <c r="U36" s="27"/>
      <c r="V36" s="58"/>
    </row>
    <row r="37" spans="1:22" ht="72" x14ac:dyDescent="0.3">
      <c r="A37" s="23">
        <v>45922</v>
      </c>
      <c r="B37" s="7" t="s">
        <v>476</v>
      </c>
      <c r="C37" s="63">
        <v>19292.77</v>
      </c>
      <c r="D37" s="63"/>
      <c r="E37" s="62">
        <f t="shared" si="0"/>
        <v>3556863.4200000004</v>
      </c>
      <c r="F37" s="63"/>
      <c r="G37" s="63"/>
      <c r="H37" s="63"/>
      <c r="I37" s="63"/>
      <c r="J37" s="63"/>
      <c r="K37" s="63"/>
      <c r="L37" s="63"/>
      <c r="M37" s="63"/>
      <c r="N37" s="63"/>
      <c r="O37" s="70" t="s">
        <v>495</v>
      </c>
      <c r="P37" s="63"/>
      <c r="Q37" s="63"/>
      <c r="R37" s="63"/>
      <c r="S37" s="63"/>
      <c r="T37" s="63"/>
      <c r="U37" s="27"/>
      <c r="V37" s="58"/>
    </row>
    <row r="38" spans="1:22" ht="43.2" x14ac:dyDescent="0.3">
      <c r="A38" s="23">
        <v>45922</v>
      </c>
      <c r="B38" s="7" t="s">
        <v>477</v>
      </c>
      <c r="C38" s="63"/>
      <c r="D38" s="63">
        <v>22000</v>
      </c>
      <c r="E38" s="62">
        <f t="shared" si="0"/>
        <v>3534863.4200000004</v>
      </c>
      <c r="F38" s="63"/>
      <c r="G38" s="63"/>
      <c r="H38" s="63"/>
      <c r="I38" s="63"/>
      <c r="J38" s="63">
        <f>-D38</f>
        <v>-22000</v>
      </c>
      <c r="K38" s="63"/>
      <c r="L38" s="63"/>
      <c r="M38" s="63"/>
      <c r="N38" s="63"/>
      <c r="O38" s="71" t="s">
        <v>492</v>
      </c>
      <c r="P38" s="63"/>
      <c r="Q38" s="63"/>
      <c r="R38" s="63"/>
      <c r="S38" s="63"/>
      <c r="T38" s="63"/>
      <c r="U38" s="27"/>
      <c r="V38" s="58"/>
    </row>
    <row r="39" spans="1:22" ht="72" x14ac:dyDescent="0.3">
      <c r="A39" s="23">
        <v>45923</v>
      </c>
      <c r="B39" s="7" t="s">
        <v>478</v>
      </c>
      <c r="C39" s="63">
        <v>965</v>
      </c>
      <c r="D39" s="63"/>
      <c r="E39" s="62">
        <f t="shared" si="0"/>
        <v>3535828.4200000004</v>
      </c>
      <c r="F39" s="63"/>
      <c r="G39" s="63"/>
      <c r="H39" s="63"/>
      <c r="I39" s="63"/>
      <c r="J39" s="63"/>
      <c r="K39" s="63"/>
      <c r="L39" s="63"/>
      <c r="M39" s="63"/>
      <c r="N39" s="63"/>
      <c r="O39" s="70" t="s">
        <v>537</v>
      </c>
      <c r="P39" s="63" t="s">
        <v>517</v>
      </c>
      <c r="Q39" s="63"/>
      <c r="R39" s="63"/>
      <c r="S39" s="63"/>
      <c r="T39" s="63"/>
      <c r="U39" s="27"/>
      <c r="V39" s="58"/>
    </row>
    <row r="40" spans="1:22" x14ac:dyDescent="0.3">
      <c r="A40" s="23">
        <v>45923</v>
      </c>
      <c r="B40" s="7" t="s">
        <v>455</v>
      </c>
      <c r="C40" s="63"/>
      <c r="D40" s="63">
        <v>0.05</v>
      </c>
      <c r="E40" s="62">
        <f t="shared" si="0"/>
        <v>3535828.3700000006</v>
      </c>
      <c r="F40" s="63"/>
      <c r="G40" s="63"/>
      <c r="H40" s="63"/>
      <c r="I40" s="63">
        <f>-D40</f>
        <v>-0.05</v>
      </c>
      <c r="J40" s="63"/>
      <c r="K40" s="63"/>
      <c r="L40" s="63"/>
      <c r="M40" s="63"/>
      <c r="N40" s="63"/>
      <c r="O40" s="70"/>
      <c r="P40" s="63"/>
      <c r="Q40" s="63"/>
      <c r="R40" s="63"/>
      <c r="S40" s="63"/>
      <c r="T40" s="63"/>
      <c r="U40" s="27"/>
      <c r="V40" s="58"/>
    </row>
    <row r="41" spans="1:22" ht="43.2" x14ac:dyDescent="0.3">
      <c r="A41" s="23">
        <v>45923</v>
      </c>
      <c r="B41" s="7" t="s">
        <v>479</v>
      </c>
      <c r="C41" s="63"/>
      <c r="D41" s="63">
        <v>23310</v>
      </c>
      <c r="E41" s="62">
        <f t="shared" si="0"/>
        <v>3512518.3700000006</v>
      </c>
      <c r="F41" s="63"/>
      <c r="G41" s="63"/>
      <c r="H41" s="63"/>
      <c r="I41" s="63"/>
      <c r="J41" s="63"/>
      <c r="K41" s="63"/>
      <c r="L41" s="63"/>
      <c r="M41" s="63"/>
      <c r="N41" s="63"/>
      <c r="O41" s="77" t="s">
        <v>504</v>
      </c>
      <c r="P41" s="72" t="s">
        <v>523</v>
      </c>
      <c r="Q41" s="63"/>
      <c r="R41" s="63"/>
      <c r="S41" s="63"/>
      <c r="T41" s="63"/>
      <c r="U41" s="27"/>
      <c r="V41" s="58"/>
    </row>
    <row r="42" spans="1:22" x14ac:dyDescent="0.3">
      <c r="A42" s="23">
        <v>45923</v>
      </c>
      <c r="B42" s="7" t="s">
        <v>456</v>
      </c>
      <c r="C42" s="63"/>
      <c r="D42" s="63">
        <v>1</v>
      </c>
      <c r="E42" s="62">
        <f t="shared" si="0"/>
        <v>3512517.3700000006</v>
      </c>
      <c r="F42" s="63"/>
      <c r="G42" s="63"/>
      <c r="H42" s="63"/>
      <c r="I42" s="63">
        <f>-D42</f>
        <v>-1</v>
      </c>
      <c r="J42" s="63"/>
      <c r="K42" s="63"/>
      <c r="L42" s="63"/>
      <c r="M42" s="63"/>
      <c r="N42" s="63"/>
      <c r="O42" s="70"/>
      <c r="P42" s="63"/>
      <c r="Q42" s="63"/>
      <c r="R42" s="63"/>
      <c r="S42" s="63"/>
      <c r="T42" s="63"/>
      <c r="U42" s="27"/>
      <c r="V42" s="58"/>
    </row>
    <row r="43" spans="1:22" ht="43.2" x14ac:dyDescent="0.3">
      <c r="A43" s="23">
        <v>45924</v>
      </c>
      <c r="B43" s="7" t="s">
        <v>480</v>
      </c>
      <c r="C43" s="63"/>
      <c r="D43" s="63">
        <v>15000</v>
      </c>
      <c r="E43" s="62">
        <f t="shared" si="0"/>
        <v>3497517.3700000006</v>
      </c>
      <c r="F43" s="63"/>
      <c r="G43" s="63"/>
      <c r="H43" s="63"/>
      <c r="I43" s="63"/>
      <c r="J43" s="63"/>
      <c r="K43" s="63"/>
      <c r="L43" s="63"/>
      <c r="M43" s="63"/>
      <c r="N43" s="63"/>
      <c r="O43" s="78" t="s">
        <v>524</v>
      </c>
      <c r="P43" s="72" t="s">
        <v>525</v>
      </c>
      <c r="Q43" s="63"/>
      <c r="R43" s="63"/>
      <c r="S43" s="63"/>
      <c r="T43" s="63"/>
      <c r="U43" s="27"/>
      <c r="V43" s="58"/>
    </row>
    <row r="44" spans="1:22" ht="43.2" x14ac:dyDescent="0.3">
      <c r="A44" s="23">
        <v>45927</v>
      </c>
      <c r="B44" s="7" t="s">
        <v>481</v>
      </c>
      <c r="C44" s="63">
        <v>19290</v>
      </c>
      <c r="D44" s="63"/>
      <c r="E44" s="62">
        <f t="shared" si="0"/>
        <v>3516807.3700000006</v>
      </c>
      <c r="F44" s="63"/>
      <c r="G44" s="63"/>
      <c r="H44" s="63"/>
      <c r="I44" s="63"/>
      <c r="J44" s="63"/>
      <c r="K44" s="63"/>
      <c r="L44" s="63"/>
      <c r="M44" s="63"/>
      <c r="N44" s="63"/>
      <c r="O44" s="70" t="s">
        <v>502</v>
      </c>
      <c r="P44" s="63"/>
      <c r="Q44" s="63"/>
      <c r="R44" s="63"/>
      <c r="S44" s="63"/>
      <c r="T44" s="63"/>
      <c r="U44" s="27"/>
      <c r="V44" s="58"/>
    </row>
    <row r="45" spans="1:22" ht="43.2" x14ac:dyDescent="0.3">
      <c r="A45" s="23">
        <v>45927</v>
      </c>
      <c r="B45" s="7" t="s">
        <v>482</v>
      </c>
      <c r="C45" s="63"/>
      <c r="D45" s="63">
        <v>15000</v>
      </c>
      <c r="E45" s="62">
        <f t="shared" si="0"/>
        <v>3501807.3700000006</v>
      </c>
      <c r="F45" s="63"/>
      <c r="G45" s="63"/>
      <c r="H45" s="63"/>
      <c r="I45" s="63"/>
      <c r="J45" s="63"/>
      <c r="K45" s="63"/>
      <c r="L45" s="63"/>
      <c r="M45" s="63"/>
      <c r="N45" s="63"/>
      <c r="O45" s="70" t="s">
        <v>526</v>
      </c>
      <c r="P45" s="63"/>
      <c r="Q45" s="63"/>
      <c r="R45" s="63"/>
      <c r="S45" s="63"/>
      <c r="T45" s="63"/>
      <c r="U45" s="27"/>
      <c r="V45" s="58"/>
    </row>
    <row r="46" spans="1:22" ht="57.6" x14ac:dyDescent="0.3">
      <c r="A46" s="23">
        <v>45929</v>
      </c>
      <c r="B46" s="7" t="s">
        <v>483</v>
      </c>
      <c r="C46" s="63">
        <v>22988.76</v>
      </c>
      <c r="D46" s="63"/>
      <c r="E46" s="62">
        <f t="shared" si="0"/>
        <v>3524796.1300000004</v>
      </c>
      <c r="F46" s="63"/>
      <c r="G46" s="63"/>
      <c r="H46" s="63"/>
      <c r="I46" s="63"/>
      <c r="J46" s="63"/>
      <c r="K46" s="63"/>
      <c r="L46" s="63"/>
      <c r="M46" s="63"/>
      <c r="N46" s="63"/>
      <c r="O46" s="71" t="s">
        <v>540</v>
      </c>
      <c r="P46" s="63"/>
      <c r="Q46" s="63"/>
      <c r="R46" s="63"/>
      <c r="S46" s="63"/>
      <c r="T46" s="63"/>
      <c r="U46" s="27"/>
      <c r="V46" s="58"/>
    </row>
    <row r="47" spans="1:22" ht="43.2" x14ac:dyDescent="0.3">
      <c r="A47" s="23">
        <v>45929</v>
      </c>
      <c r="B47" s="7" t="s">
        <v>484</v>
      </c>
      <c r="C47" s="63"/>
      <c r="D47" s="63">
        <v>127537.28</v>
      </c>
      <c r="E47" s="62">
        <f t="shared" si="0"/>
        <v>3397258.8500000006</v>
      </c>
      <c r="F47" s="63"/>
      <c r="G47" s="63"/>
      <c r="H47" s="63"/>
      <c r="I47" s="63"/>
      <c r="J47" s="63"/>
      <c r="K47" s="63"/>
      <c r="L47" s="63"/>
      <c r="M47" s="63"/>
      <c r="N47" s="63"/>
      <c r="O47" s="71" t="s">
        <v>503</v>
      </c>
      <c r="P47" s="63"/>
      <c r="Q47" s="63"/>
      <c r="R47" s="63"/>
      <c r="S47" s="63"/>
      <c r="T47" s="63"/>
      <c r="U47" s="27"/>
      <c r="V47" s="58"/>
    </row>
    <row r="48" spans="1:22" ht="43.2" x14ac:dyDescent="0.3">
      <c r="A48" s="23">
        <v>45929</v>
      </c>
      <c r="B48" s="7" t="s">
        <v>485</v>
      </c>
      <c r="C48" s="63"/>
      <c r="D48" s="63">
        <v>10545</v>
      </c>
      <c r="E48" s="62">
        <f t="shared" si="0"/>
        <v>3386713.8500000006</v>
      </c>
      <c r="F48" s="63"/>
      <c r="G48" s="63"/>
      <c r="H48" s="63"/>
      <c r="I48" s="63"/>
      <c r="J48" s="63">
        <f>-D48</f>
        <v>-10545</v>
      </c>
      <c r="K48" s="63"/>
      <c r="L48" s="63"/>
      <c r="M48" s="63"/>
      <c r="N48" s="63"/>
      <c r="O48" s="71" t="s">
        <v>527</v>
      </c>
      <c r="P48" s="63"/>
      <c r="Q48" s="63"/>
      <c r="R48" s="63"/>
      <c r="S48" s="63"/>
      <c r="T48" s="63"/>
      <c r="U48" s="27"/>
      <c r="V48" s="58"/>
    </row>
    <row r="49" spans="1:22" ht="43.2" x14ac:dyDescent="0.3">
      <c r="A49" s="23">
        <v>45929</v>
      </c>
      <c r="B49" s="7" t="s">
        <v>486</v>
      </c>
      <c r="C49" s="63"/>
      <c r="D49" s="63">
        <v>22000</v>
      </c>
      <c r="E49" s="62">
        <f t="shared" si="0"/>
        <v>3364713.8500000006</v>
      </c>
      <c r="F49" s="63"/>
      <c r="G49" s="63"/>
      <c r="H49" s="63"/>
      <c r="I49" s="63"/>
      <c r="J49" s="63">
        <f>-D49</f>
        <v>-22000</v>
      </c>
      <c r="K49" s="63"/>
      <c r="L49" s="63"/>
      <c r="M49" s="63"/>
      <c r="N49" s="63"/>
      <c r="O49" s="70" t="s">
        <v>528</v>
      </c>
      <c r="P49" s="63"/>
      <c r="Q49" s="63"/>
      <c r="R49" s="63"/>
      <c r="S49" s="63"/>
      <c r="T49" s="63"/>
      <c r="U49" s="27"/>
      <c r="V49" s="58"/>
    </row>
    <row r="50" spans="1:22" ht="57.6" x14ac:dyDescent="0.3">
      <c r="A50" s="23">
        <v>45930</v>
      </c>
      <c r="B50" s="7" t="s">
        <v>487</v>
      </c>
      <c r="C50" s="63"/>
      <c r="D50" s="63">
        <v>16090.01</v>
      </c>
      <c r="E50" s="62">
        <f t="shared" si="0"/>
        <v>3348623.8400000008</v>
      </c>
      <c r="F50" s="63"/>
      <c r="G50" s="63"/>
      <c r="H50" s="63"/>
      <c r="I50" s="63"/>
      <c r="J50" s="63"/>
      <c r="K50" s="63"/>
      <c r="L50" s="63"/>
      <c r="M50" s="63"/>
      <c r="N50" s="63"/>
      <c r="O50" s="58" t="s">
        <v>490</v>
      </c>
      <c r="P50" s="63" t="s">
        <v>529</v>
      </c>
      <c r="Q50" s="63"/>
      <c r="R50" s="63"/>
      <c r="S50" s="63"/>
      <c r="T50" s="63"/>
      <c r="U50" s="27"/>
      <c r="V50" s="58"/>
    </row>
    <row r="51" spans="1:22" ht="43.2" x14ac:dyDescent="0.3">
      <c r="A51" s="23">
        <v>45930</v>
      </c>
      <c r="B51" s="7" t="s">
        <v>488</v>
      </c>
      <c r="C51" s="63"/>
      <c r="D51" s="63">
        <v>388.5</v>
      </c>
      <c r="E51" s="62">
        <f t="shared" si="0"/>
        <v>3348235.3400000008</v>
      </c>
      <c r="F51" s="63"/>
      <c r="G51" s="63"/>
      <c r="H51" s="63"/>
      <c r="I51" s="63"/>
      <c r="J51" s="63"/>
      <c r="K51" s="63"/>
      <c r="L51" s="63"/>
      <c r="M51" s="63"/>
      <c r="N51" s="63"/>
      <c r="O51" s="58" t="s">
        <v>490</v>
      </c>
      <c r="P51" s="63" t="s">
        <v>539</v>
      </c>
      <c r="Q51" s="63"/>
      <c r="R51" s="63"/>
      <c r="S51" s="63"/>
      <c r="T51" s="63"/>
      <c r="U51" s="27"/>
      <c r="V51" s="58" t="s">
        <v>490</v>
      </c>
    </row>
    <row r="52" spans="1:22" ht="28.8" x14ac:dyDescent="0.3">
      <c r="A52" s="23">
        <v>45930</v>
      </c>
      <c r="B52" s="7" t="s">
        <v>489</v>
      </c>
      <c r="C52" s="63">
        <v>19290</v>
      </c>
      <c r="D52" s="63"/>
      <c r="E52" s="62">
        <f t="shared" si="0"/>
        <v>3367525.3400000008</v>
      </c>
      <c r="F52" s="63"/>
      <c r="G52" s="63"/>
      <c r="H52" s="63"/>
      <c r="I52" s="63"/>
      <c r="J52" s="63"/>
      <c r="K52" s="63"/>
      <c r="L52" s="63"/>
      <c r="M52" s="63"/>
      <c r="N52" s="63"/>
      <c r="O52" s="70" t="s">
        <v>536</v>
      </c>
      <c r="P52" s="63" t="s">
        <v>538</v>
      </c>
      <c r="Q52" s="63"/>
      <c r="R52" s="63"/>
      <c r="S52" s="63"/>
      <c r="T52" s="63"/>
      <c r="U52" s="27"/>
      <c r="V52" s="58"/>
    </row>
    <row r="53" spans="1:22" ht="15" thickBot="1" x14ac:dyDescent="0.35">
      <c r="A53" s="12"/>
      <c r="B53" s="28" t="s">
        <v>9</v>
      </c>
      <c r="C53" s="64"/>
      <c r="D53" s="64"/>
      <c r="E53" s="65"/>
      <c r="F53" s="64">
        <f t="shared" ref="F53:T53" si="1">SUM(F7:F52)</f>
        <v>3593941.67</v>
      </c>
      <c r="G53" s="64"/>
      <c r="H53" s="64">
        <f t="shared" si="1"/>
        <v>-75</v>
      </c>
      <c r="I53" s="64">
        <f t="shared" si="1"/>
        <v>-4.8</v>
      </c>
      <c r="J53" s="64">
        <f t="shared" si="1"/>
        <v>-64548</v>
      </c>
      <c r="K53" s="64"/>
      <c r="L53" s="64">
        <f t="shared" si="1"/>
        <v>0</v>
      </c>
      <c r="M53" s="64">
        <f t="shared" si="1"/>
        <v>0</v>
      </c>
      <c r="N53" s="64">
        <f t="shared" si="1"/>
        <v>0</v>
      </c>
      <c r="O53" s="74">
        <f t="shared" si="1"/>
        <v>0</v>
      </c>
      <c r="P53" s="64">
        <f t="shared" si="1"/>
        <v>0</v>
      </c>
      <c r="Q53" s="64">
        <f t="shared" si="1"/>
        <v>0</v>
      </c>
      <c r="R53" s="64">
        <f t="shared" si="1"/>
        <v>0</v>
      </c>
      <c r="S53" s="64">
        <f t="shared" si="1"/>
        <v>0</v>
      </c>
      <c r="T53" s="64">
        <f t="shared" si="1"/>
        <v>0</v>
      </c>
      <c r="U53" s="59"/>
      <c r="V53" s="58"/>
    </row>
    <row r="54" spans="1:22" ht="15" thickTop="1" x14ac:dyDescent="0.3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70"/>
      <c r="P54" s="63"/>
      <c r="Q54" s="63"/>
      <c r="R54" s="63"/>
      <c r="S54" s="63"/>
      <c r="T54" s="63"/>
      <c r="U54" s="40"/>
      <c r="V54" s="58"/>
    </row>
    <row r="55" spans="1:22" x14ac:dyDescent="0.3">
      <c r="B55" s="2" t="s">
        <v>7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70"/>
      <c r="P55" s="63"/>
      <c r="Q55" s="63"/>
      <c r="R55" s="63"/>
      <c r="S55" s="63"/>
      <c r="T55" s="63"/>
      <c r="U55" s="40"/>
      <c r="V55" s="58"/>
    </row>
    <row r="56" spans="1:22" x14ac:dyDescent="0.3">
      <c r="B56" s="1" t="str" cm="1">
        <f t="array" ref="B56:B70">+TRANSPOSE(F6:T6)</f>
        <v>Opening Balance</v>
      </c>
      <c r="C56" s="61" cm="1">
        <f t="array" ref="C56:C70">+TRANSPOSE(F53:T53)</f>
        <v>3593941.67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70"/>
      <c r="P56" s="63"/>
      <c r="Q56" s="63"/>
      <c r="R56" s="63"/>
      <c r="S56" s="63"/>
      <c r="T56" s="63"/>
      <c r="U56" s="40"/>
      <c r="V56" s="58"/>
    </row>
    <row r="57" spans="1:22" x14ac:dyDescent="0.3">
      <c r="B57" s="1" t="str">
        <v>Interest Income</v>
      </c>
      <c r="C57" s="61">
        <v>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70"/>
      <c r="P57" s="63"/>
      <c r="Q57" s="63"/>
      <c r="R57" s="63"/>
      <c r="S57" s="63"/>
      <c r="T57" s="63"/>
      <c r="U57" s="40"/>
      <c r="V57" s="58"/>
    </row>
    <row r="58" spans="1:22" x14ac:dyDescent="0.3">
      <c r="B58" s="1" t="str">
        <v>Bank Charges</v>
      </c>
      <c r="C58" s="61">
        <v>-75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70"/>
      <c r="P58" s="63"/>
      <c r="Q58" s="63"/>
      <c r="R58" s="63"/>
      <c r="S58" s="63"/>
      <c r="T58" s="63"/>
      <c r="U58" s="40"/>
      <c r="V58" s="58"/>
    </row>
    <row r="59" spans="1:22" x14ac:dyDescent="0.3">
      <c r="B59" s="1" t="str">
        <v>VAT</v>
      </c>
      <c r="C59" s="61">
        <v>-4.8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70"/>
      <c r="P59" s="63"/>
      <c r="Q59" s="63"/>
      <c r="R59" s="63"/>
      <c r="S59" s="63"/>
      <c r="T59" s="63"/>
      <c r="U59" s="40"/>
      <c r="V59" s="58"/>
    </row>
    <row r="60" spans="1:22" x14ac:dyDescent="0.3">
      <c r="B60" s="1" t="str">
        <v>Salary</v>
      </c>
      <c r="C60" s="61">
        <v>-64548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70"/>
      <c r="P60" s="63"/>
      <c r="Q60" s="63"/>
      <c r="R60" s="63"/>
      <c r="S60" s="63"/>
      <c r="T60" s="63"/>
      <c r="U60" s="40"/>
      <c r="V60" s="58"/>
    </row>
    <row r="61" spans="1:22" x14ac:dyDescent="0.3">
      <c r="B61" s="1" t="str">
        <v>Matrix Development s.r.o</v>
      </c>
      <c r="C61" s="61">
        <v>0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70"/>
      <c r="P61" s="63"/>
      <c r="Q61" s="63"/>
      <c r="R61" s="63"/>
      <c r="S61" s="63"/>
      <c r="T61" s="63"/>
      <c r="U61" s="40"/>
      <c r="V61" s="58"/>
    </row>
    <row r="62" spans="1:22" x14ac:dyDescent="0.3">
      <c r="B62" s="1" t="str">
        <v>Magus Consultancy</v>
      </c>
      <c r="C62" s="61">
        <v>0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70"/>
      <c r="P62" s="63"/>
      <c r="Q62" s="63"/>
      <c r="R62" s="63"/>
      <c r="S62" s="63"/>
      <c r="T62" s="63"/>
      <c r="U62" s="40"/>
      <c r="V62" s="58"/>
    </row>
    <row r="63" spans="1:22" x14ac:dyDescent="0.3">
      <c r="B63" s="1" t="str">
        <v>Suspense</v>
      </c>
      <c r="C63" s="61">
        <v>0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70"/>
      <c r="P63" s="63"/>
      <c r="Q63" s="63"/>
      <c r="R63" s="63"/>
      <c r="S63" s="63"/>
      <c r="T63" s="63"/>
      <c r="U63" s="40"/>
      <c r="V63" s="58"/>
    </row>
    <row r="64" spans="1:22" x14ac:dyDescent="0.3">
      <c r="B64" s="1" t="str">
        <v>Young Presidents Organization</v>
      </c>
      <c r="C64" s="61">
        <v>0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70"/>
      <c r="P64" s="63"/>
      <c r="Q64" s="63"/>
      <c r="R64" s="63"/>
      <c r="S64" s="63"/>
      <c r="T64" s="63"/>
      <c r="U64" s="40"/>
      <c r="V64" s="58"/>
    </row>
    <row r="65" spans="2:22" x14ac:dyDescent="0.3">
      <c r="B65" s="1" t="str">
        <v>Comments</v>
      </c>
      <c r="C65" s="61">
        <v>0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70"/>
      <c r="P65" s="63"/>
      <c r="Q65" s="63"/>
      <c r="R65" s="63"/>
      <c r="S65" s="63"/>
      <c r="T65" s="63"/>
      <c r="U65" s="40"/>
      <c r="V65" s="58"/>
    </row>
    <row r="66" spans="2:22" x14ac:dyDescent="0.3">
      <c r="B66" s="1" t="str">
        <v>Event</v>
      </c>
      <c r="C66" s="61">
        <v>0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70"/>
      <c r="P66" s="63"/>
      <c r="Q66" s="63"/>
      <c r="R66" s="63"/>
      <c r="S66" s="63"/>
      <c r="T66" s="63"/>
      <c r="U66" s="40"/>
      <c r="V66" s="58"/>
    </row>
    <row r="67" spans="2:22" x14ac:dyDescent="0.3">
      <c r="B67" s="1">
        <v>0</v>
      </c>
      <c r="C67" s="61">
        <v>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70"/>
      <c r="P67" s="63"/>
      <c r="Q67" s="63"/>
      <c r="R67" s="63"/>
      <c r="S67" s="63"/>
      <c r="T67" s="63"/>
      <c r="U67" s="40"/>
      <c r="V67" s="58"/>
    </row>
    <row r="68" spans="2:22" x14ac:dyDescent="0.3">
      <c r="B68" s="1">
        <v>0</v>
      </c>
      <c r="C68" s="61">
        <v>0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70"/>
      <c r="P68" s="63"/>
      <c r="Q68" s="63"/>
      <c r="R68" s="63"/>
      <c r="S68" s="63"/>
      <c r="T68" s="63"/>
      <c r="U68" s="40"/>
      <c r="V68" s="58"/>
    </row>
    <row r="69" spans="2:22" x14ac:dyDescent="0.3">
      <c r="B69" s="1">
        <v>0</v>
      </c>
      <c r="C69" s="61">
        <v>0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70"/>
      <c r="P69" s="63"/>
      <c r="Q69" s="63"/>
      <c r="R69" s="63"/>
      <c r="S69" s="63"/>
      <c r="T69" s="63"/>
      <c r="U69" s="40"/>
      <c r="V69" s="58"/>
    </row>
    <row r="70" spans="2:22" x14ac:dyDescent="0.3">
      <c r="B70" s="1">
        <v>0</v>
      </c>
      <c r="C70" s="61">
        <v>0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70"/>
      <c r="P70" s="63"/>
      <c r="Q70" s="63"/>
      <c r="R70" s="63"/>
      <c r="S70" s="63"/>
      <c r="T70" s="63"/>
      <c r="U70" s="40"/>
      <c r="V70" s="58"/>
    </row>
    <row r="71" spans="2:22" x14ac:dyDescent="0.3">
      <c r="B71" s="29" t="s">
        <v>8</v>
      </c>
      <c r="C71" s="66">
        <f>SUM(_xlfn.ANCHORARRAY(C56))</f>
        <v>3529313.87</v>
      </c>
      <c r="D71" s="63" t="e">
        <f>C71-#REF!</f>
        <v>#REF!</v>
      </c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70"/>
      <c r="P71" s="63"/>
      <c r="Q71" s="63"/>
      <c r="R71" s="63"/>
      <c r="S71" s="63"/>
      <c r="T71" s="63"/>
      <c r="U71" s="40"/>
      <c r="V71" s="58"/>
    </row>
    <row r="72" spans="2:22" x14ac:dyDescent="0.3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70"/>
      <c r="P72" s="63"/>
      <c r="Q72" s="63"/>
      <c r="R72" s="63"/>
      <c r="S72" s="63"/>
      <c r="T72" s="63"/>
      <c r="U72" s="40"/>
      <c r="V72" s="58"/>
    </row>
    <row r="73" spans="2:22" x14ac:dyDescent="0.3">
      <c r="B73" s="39" t="s">
        <v>392</v>
      </c>
      <c r="C73" s="67" t="s">
        <v>408</v>
      </c>
      <c r="D73" s="67" t="s">
        <v>409</v>
      </c>
      <c r="E73" s="68"/>
      <c r="F73" s="69"/>
      <c r="G73" s="69"/>
      <c r="H73" s="69"/>
      <c r="I73" s="69"/>
      <c r="J73" s="69"/>
      <c r="K73" s="69"/>
      <c r="L73" s="69"/>
      <c r="M73" s="69"/>
      <c r="N73" s="69"/>
      <c r="O73" s="75"/>
      <c r="P73" s="69"/>
      <c r="Q73" s="69"/>
      <c r="R73" s="69"/>
      <c r="S73" s="69"/>
      <c r="T73" s="69"/>
      <c r="U73" s="58"/>
      <c r="V73" s="58"/>
    </row>
    <row r="74" spans="2:22" x14ac:dyDescent="0.3">
      <c r="B74" s="5" t="s">
        <v>416</v>
      </c>
      <c r="C74" s="63"/>
      <c r="D74" s="63">
        <v>-301572.40000000002</v>
      </c>
      <c r="E74" s="68"/>
      <c r="F74" s="69"/>
      <c r="G74" s="69"/>
      <c r="H74" s="69"/>
      <c r="I74" s="69"/>
      <c r="J74" s="69"/>
      <c r="K74" s="69"/>
      <c r="L74" s="69"/>
      <c r="M74" s="69"/>
      <c r="N74" s="69"/>
      <c r="O74" s="75"/>
      <c r="P74" s="69"/>
      <c r="Q74" s="69"/>
      <c r="R74" s="69"/>
      <c r="S74" s="69"/>
      <c r="T74" s="69"/>
      <c r="U74" s="58"/>
      <c r="V74" s="58"/>
    </row>
    <row r="75" spans="2:22" x14ac:dyDescent="0.3">
      <c r="B75" s="5" t="s">
        <v>424</v>
      </c>
      <c r="C75" s="63"/>
      <c r="D75" s="63">
        <v>-116582.39999999999</v>
      </c>
      <c r="E75" s="68"/>
      <c r="F75" s="69"/>
      <c r="G75" s="69"/>
      <c r="H75" s="69"/>
      <c r="I75" s="69"/>
      <c r="J75" s="69"/>
      <c r="K75" s="69"/>
      <c r="L75" s="69"/>
      <c r="M75" s="69"/>
      <c r="N75" s="69"/>
      <c r="O75" s="75"/>
      <c r="P75" s="69"/>
      <c r="Q75" s="69"/>
      <c r="R75" s="69"/>
      <c r="S75" s="69"/>
      <c r="T75" s="69"/>
      <c r="U75" s="58"/>
      <c r="V75" s="58"/>
    </row>
    <row r="76" spans="2:22" x14ac:dyDescent="0.3">
      <c r="B76" s="5" t="s">
        <v>418</v>
      </c>
      <c r="C76" s="63"/>
      <c r="D76" s="63">
        <v>-79669</v>
      </c>
      <c r="E76" s="68"/>
      <c r="F76" s="69"/>
      <c r="G76" s="69"/>
      <c r="H76" s="69"/>
      <c r="I76" s="69"/>
      <c r="J76" s="69"/>
      <c r="K76" s="69"/>
      <c r="L76" s="69"/>
      <c r="M76" s="69"/>
      <c r="N76" s="69"/>
      <c r="O76" s="75"/>
      <c r="P76" s="69"/>
      <c r="Q76" s="69"/>
      <c r="R76" s="69"/>
      <c r="S76" s="69"/>
      <c r="T76" s="69"/>
      <c r="U76" s="58"/>
      <c r="V76" s="58"/>
    </row>
    <row r="77" spans="2:22" x14ac:dyDescent="0.3">
      <c r="B77" s="5" t="s">
        <v>439</v>
      </c>
      <c r="C77" s="63"/>
      <c r="D77" s="63">
        <v>-45088</v>
      </c>
      <c r="E77" s="68"/>
      <c r="F77" s="69"/>
      <c r="G77" s="69"/>
      <c r="H77" s="69"/>
      <c r="I77" s="69"/>
      <c r="J77" s="69"/>
      <c r="K77" s="69"/>
      <c r="L77" s="69"/>
      <c r="M77" s="69"/>
      <c r="N77" s="69"/>
      <c r="O77" s="75"/>
      <c r="P77" s="69"/>
      <c r="Q77" s="69"/>
      <c r="R77" s="69"/>
      <c r="S77" s="69"/>
      <c r="T77" s="69"/>
      <c r="U77" s="58"/>
      <c r="V77" s="58"/>
    </row>
    <row r="78" spans="2:22" x14ac:dyDescent="0.3">
      <c r="B78" s="5" t="s">
        <v>437</v>
      </c>
      <c r="C78" s="63"/>
      <c r="D78" s="63">
        <v>-44936.04</v>
      </c>
      <c r="E78" s="68"/>
      <c r="F78" s="69"/>
      <c r="G78" s="69"/>
      <c r="H78" s="69"/>
      <c r="I78" s="69"/>
      <c r="J78" s="69"/>
      <c r="K78" s="69"/>
      <c r="L78" s="69"/>
      <c r="M78" s="69"/>
      <c r="N78" s="69"/>
      <c r="O78" s="75"/>
      <c r="P78" s="69"/>
      <c r="Q78" s="69"/>
      <c r="R78" s="69"/>
      <c r="S78" s="69"/>
      <c r="T78" s="69"/>
      <c r="U78" s="58"/>
      <c r="V78" s="58"/>
    </row>
    <row r="79" spans="2:22" x14ac:dyDescent="0.3">
      <c r="B79" s="5" t="s">
        <v>432</v>
      </c>
      <c r="C79" s="63"/>
      <c r="D79" s="63">
        <v>-43212.34</v>
      </c>
      <c r="E79" s="68"/>
      <c r="F79" s="69"/>
      <c r="G79" s="69"/>
      <c r="H79" s="69"/>
      <c r="I79" s="69"/>
      <c r="J79" s="69"/>
      <c r="K79" s="69"/>
      <c r="L79" s="69"/>
      <c r="M79" s="69"/>
      <c r="N79" s="69"/>
      <c r="O79" s="75"/>
      <c r="P79" s="69"/>
      <c r="Q79" s="69"/>
      <c r="R79" s="69"/>
      <c r="S79" s="69"/>
      <c r="T79" s="69"/>
      <c r="U79" s="58"/>
      <c r="V79" s="58"/>
    </row>
    <row r="80" spans="2:22" x14ac:dyDescent="0.3">
      <c r="B80" s="5" t="s">
        <v>415</v>
      </c>
      <c r="C80" s="63"/>
      <c r="D80" s="63">
        <v>-28008.74</v>
      </c>
      <c r="E80" s="68"/>
      <c r="F80" s="69"/>
      <c r="G80" s="69"/>
      <c r="H80" s="69"/>
      <c r="I80" s="69"/>
      <c r="J80" s="69"/>
      <c r="K80" s="69"/>
      <c r="L80" s="69"/>
      <c r="M80" s="69"/>
      <c r="N80" s="69"/>
      <c r="O80" s="75"/>
      <c r="P80" s="69"/>
      <c r="Q80" s="69"/>
      <c r="R80" s="69"/>
      <c r="S80" s="69"/>
      <c r="T80" s="69"/>
      <c r="U80" s="58"/>
      <c r="V80" s="58"/>
    </row>
    <row r="81" spans="2:22" x14ac:dyDescent="0.3">
      <c r="B81" s="47" t="s">
        <v>429</v>
      </c>
      <c r="C81" s="63"/>
      <c r="D81" s="63">
        <v>-25585.95</v>
      </c>
      <c r="E81" s="68"/>
      <c r="F81" s="69"/>
      <c r="G81" s="69"/>
      <c r="H81" s="69"/>
      <c r="I81" s="69"/>
      <c r="J81" s="69"/>
      <c r="K81" s="69"/>
      <c r="L81" s="69"/>
      <c r="M81" s="69"/>
      <c r="N81" s="69"/>
      <c r="O81" s="75"/>
      <c r="P81" s="69"/>
      <c r="Q81" s="69"/>
      <c r="R81" s="69"/>
      <c r="S81" s="69"/>
      <c r="T81" s="69"/>
      <c r="U81" s="58"/>
      <c r="V81" s="58"/>
    </row>
    <row r="82" spans="2:22" x14ac:dyDescent="0.3">
      <c r="B82" s="5" t="s">
        <v>426</v>
      </c>
      <c r="C82" s="63"/>
      <c r="D82" s="63">
        <v>-18375</v>
      </c>
      <c r="E82" s="68"/>
      <c r="F82" s="69"/>
      <c r="G82" s="69"/>
      <c r="H82" s="69"/>
      <c r="I82" s="69"/>
      <c r="J82" s="69"/>
      <c r="K82" s="69"/>
      <c r="L82" s="69"/>
      <c r="M82" s="69"/>
      <c r="N82" s="69"/>
      <c r="O82" s="75"/>
      <c r="P82" s="69"/>
      <c r="Q82" s="69"/>
      <c r="R82" s="69"/>
      <c r="S82" s="69"/>
      <c r="T82" s="69"/>
      <c r="U82" s="58"/>
      <c r="V82" s="58"/>
    </row>
    <row r="83" spans="2:22" x14ac:dyDescent="0.3">
      <c r="B83" s="5" t="s">
        <v>431</v>
      </c>
      <c r="C83" s="63"/>
      <c r="D83" s="63">
        <v>-14000</v>
      </c>
      <c r="E83" s="68"/>
      <c r="F83" s="69"/>
      <c r="G83" s="69"/>
      <c r="H83" s="69"/>
      <c r="I83" s="69"/>
      <c r="J83" s="69"/>
      <c r="K83" s="69"/>
      <c r="L83" s="69"/>
      <c r="M83" s="69"/>
      <c r="N83" s="69"/>
      <c r="O83" s="75"/>
      <c r="P83" s="69"/>
      <c r="Q83" s="69"/>
      <c r="R83" s="69"/>
      <c r="S83" s="69"/>
      <c r="T83" s="69"/>
      <c r="U83" s="58"/>
      <c r="V83" s="58"/>
    </row>
    <row r="84" spans="2:22" x14ac:dyDescent="0.3">
      <c r="B84" s="5" t="s">
        <v>419</v>
      </c>
      <c r="C84" s="63"/>
      <c r="D84" s="63">
        <v>-13015.11</v>
      </c>
      <c r="E84" s="68"/>
      <c r="F84" s="69"/>
      <c r="G84" s="69"/>
      <c r="H84" s="69"/>
      <c r="I84" s="69"/>
      <c r="J84" s="69"/>
      <c r="K84" s="69"/>
      <c r="L84" s="69"/>
      <c r="M84" s="69"/>
      <c r="N84" s="69"/>
      <c r="O84" s="75"/>
      <c r="P84" s="69"/>
      <c r="Q84" s="69"/>
      <c r="R84" s="69"/>
      <c r="S84" s="69"/>
      <c r="T84" s="69"/>
      <c r="U84" s="58"/>
      <c r="V84" s="58"/>
    </row>
    <row r="85" spans="2:22" x14ac:dyDescent="0.3">
      <c r="B85" s="47" t="s">
        <v>420</v>
      </c>
      <c r="C85" s="63"/>
      <c r="D85" s="63">
        <v>-11700</v>
      </c>
      <c r="E85" s="68"/>
      <c r="F85" s="69"/>
      <c r="G85" s="69"/>
      <c r="H85" s="69"/>
      <c r="I85" s="69"/>
      <c r="J85" s="69"/>
      <c r="K85" s="69"/>
      <c r="L85" s="69"/>
      <c r="M85" s="69"/>
      <c r="N85" s="69"/>
      <c r="O85" s="75"/>
      <c r="P85" s="69"/>
      <c r="Q85" s="69"/>
      <c r="R85" s="69"/>
      <c r="S85" s="69"/>
      <c r="T85" s="69"/>
      <c r="U85" s="58"/>
      <c r="V85" s="58"/>
    </row>
    <row r="86" spans="2:22" x14ac:dyDescent="0.3">
      <c r="B86" s="5" t="s">
        <v>430</v>
      </c>
      <c r="C86" s="63"/>
      <c r="D86" s="63">
        <v>-11038.5</v>
      </c>
      <c r="E86" s="68"/>
      <c r="F86" s="69"/>
      <c r="G86" s="69"/>
      <c r="H86" s="69"/>
      <c r="I86" s="69"/>
      <c r="J86" s="69"/>
      <c r="K86" s="69"/>
      <c r="L86" s="69"/>
      <c r="M86" s="69"/>
      <c r="N86" s="69"/>
      <c r="O86" s="75"/>
      <c r="P86" s="69"/>
      <c r="Q86" s="69"/>
      <c r="R86" s="69"/>
      <c r="S86" s="69"/>
      <c r="T86" s="69"/>
      <c r="U86" s="58"/>
      <c r="V86" s="58"/>
    </row>
    <row r="87" spans="2:22" x14ac:dyDescent="0.3">
      <c r="B87" s="5" t="s">
        <v>434</v>
      </c>
      <c r="C87" s="63"/>
      <c r="D87" s="63">
        <v>-8500</v>
      </c>
      <c r="E87" s="68"/>
      <c r="F87" s="69"/>
      <c r="G87" s="69"/>
      <c r="H87" s="69"/>
      <c r="I87" s="69"/>
      <c r="J87" s="69"/>
      <c r="K87" s="69"/>
      <c r="L87" s="69"/>
      <c r="M87" s="69"/>
      <c r="N87" s="69"/>
      <c r="O87" s="75"/>
      <c r="P87" s="69"/>
      <c r="Q87" s="69"/>
      <c r="R87" s="69"/>
      <c r="S87" s="69"/>
      <c r="T87" s="69"/>
      <c r="U87" s="58"/>
      <c r="V87" s="58"/>
    </row>
    <row r="88" spans="2:22" x14ac:dyDescent="0.3">
      <c r="B88" s="5" t="s">
        <v>422</v>
      </c>
      <c r="C88" s="63"/>
      <c r="D88" s="63">
        <v>-7843.5</v>
      </c>
      <c r="E88" s="68"/>
      <c r="F88" s="69"/>
      <c r="G88" s="69"/>
      <c r="H88" s="69"/>
      <c r="I88" s="69"/>
      <c r="J88" s="69"/>
      <c r="K88" s="69"/>
      <c r="L88" s="69"/>
      <c r="M88" s="69"/>
      <c r="N88" s="69"/>
      <c r="O88" s="75"/>
      <c r="P88" s="69"/>
      <c r="Q88" s="69"/>
      <c r="R88" s="69"/>
      <c r="S88" s="69"/>
      <c r="T88" s="69"/>
      <c r="U88" s="58"/>
      <c r="V88" s="58"/>
    </row>
    <row r="89" spans="2:22" x14ac:dyDescent="0.3">
      <c r="B89" s="5" t="s">
        <v>436</v>
      </c>
      <c r="C89" s="63"/>
      <c r="D89" s="63">
        <v>-6372.69</v>
      </c>
      <c r="E89" s="68"/>
      <c r="F89" s="69"/>
      <c r="G89" s="69"/>
      <c r="H89" s="69"/>
      <c r="I89" s="69"/>
      <c r="J89" s="69"/>
      <c r="K89" s="69"/>
      <c r="L89" s="69"/>
      <c r="M89" s="69"/>
      <c r="N89" s="69"/>
      <c r="O89" s="75"/>
      <c r="P89" s="69"/>
      <c r="Q89" s="69"/>
      <c r="R89" s="69"/>
      <c r="S89" s="69"/>
      <c r="T89" s="69"/>
      <c r="U89" s="58"/>
      <c r="V89" s="58"/>
    </row>
    <row r="90" spans="2:22" x14ac:dyDescent="0.3">
      <c r="B90" s="5" t="s">
        <v>423</v>
      </c>
      <c r="C90" s="63"/>
      <c r="D90" s="63">
        <v>-5584</v>
      </c>
      <c r="E90" s="68"/>
      <c r="F90" s="69"/>
      <c r="G90" s="69"/>
      <c r="H90" s="69"/>
      <c r="I90" s="69"/>
      <c r="J90" s="69"/>
      <c r="K90" s="69"/>
      <c r="L90" s="69"/>
      <c r="M90" s="69"/>
      <c r="N90" s="69"/>
      <c r="O90" s="75"/>
      <c r="P90" s="69"/>
      <c r="Q90" s="69"/>
      <c r="R90" s="69"/>
      <c r="S90" s="69"/>
      <c r="T90" s="69"/>
      <c r="U90" s="58"/>
      <c r="V90" s="58"/>
    </row>
    <row r="91" spans="2:22" x14ac:dyDescent="0.3">
      <c r="B91" s="5" t="s">
        <v>433</v>
      </c>
      <c r="C91" s="63"/>
      <c r="D91" s="63">
        <v>-5000</v>
      </c>
      <c r="E91" s="68"/>
      <c r="F91" s="69"/>
      <c r="G91" s="69"/>
      <c r="H91" s="69"/>
      <c r="I91" s="69"/>
      <c r="J91" s="69"/>
      <c r="K91" s="69"/>
      <c r="L91" s="69"/>
      <c r="M91" s="69"/>
      <c r="N91" s="69"/>
      <c r="O91" s="75"/>
      <c r="P91" s="69"/>
      <c r="Q91" s="69"/>
      <c r="R91" s="69"/>
      <c r="S91" s="69"/>
      <c r="T91" s="69"/>
      <c r="U91" s="58"/>
      <c r="V91" s="58"/>
    </row>
    <row r="92" spans="2:22" x14ac:dyDescent="0.3">
      <c r="B92" s="5" t="s">
        <v>414</v>
      </c>
      <c r="C92" s="63"/>
      <c r="D92" s="63">
        <v>-4725</v>
      </c>
      <c r="E92" s="68"/>
      <c r="F92" s="69"/>
      <c r="G92" s="69"/>
      <c r="H92" s="69"/>
      <c r="I92" s="69"/>
      <c r="J92" s="69"/>
      <c r="K92" s="69"/>
      <c r="L92" s="69"/>
      <c r="M92" s="69"/>
      <c r="N92" s="69"/>
      <c r="O92" s="75"/>
      <c r="P92" s="69"/>
      <c r="Q92" s="69"/>
      <c r="R92" s="69"/>
      <c r="S92" s="69"/>
      <c r="T92" s="69"/>
      <c r="U92" s="58"/>
      <c r="V92" s="58"/>
    </row>
    <row r="93" spans="2:22" x14ac:dyDescent="0.3">
      <c r="B93" s="47" t="s">
        <v>421</v>
      </c>
      <c r="C93" s="63"/>
      <c r="D93" s="63">
        <v>-2202.35</v>
      </c>
      <c r="E93" s="68"/>
      <c r="F93" s="69"/>
      <c r="G93" s="69"/>
      <c r="H93" s="69"/>
      <c r="I93" s="69"/>
      <c r="J93" s="69"/>
      <c r="K93" s="69"/>
      <c r="L93" s="69"/>
      <c r="M93" s="69"/>
      <c r="N93" s="69"/>
      <c r="O93" s="75"/>
      <c r="P93" s="69"/>
      <c r="Q93" s="69"/>
      <c r="R93" s="69"/>
      <c r="S93" s="69"/>
      <c r="T93" s="69"/>
      <c r="U93" s="58"/>
      <c r="V93" s="58"/>
    </row>
    <row r="94" spans="2:22" x14ac:dyDescent="0.3">
      <c r="B94" s="47" t="s">
        <v>428</v>
      </c>
      <c r="C94" s="63"/>
      <c r="D94" s="63">
        <v>-1630.13</v>
      </c>
      <c r="E94" s="68"/>
      <c r="F94" s="69"/>
      <c r="G94" s="69"/>
      <c r="H94" s="69"/>
      <c r="I94" s="69"/>
      <c r="J94" s="69"/>
      <c r="K94" s="69"/>
      <c r="L94" s="69"/>
      <c r="M94" s="69"/>
      <c r="N94" s="69"/>
      <c r="O94" s="75"/>
      <c r="P94" s="69"/>
      <c r="Q94" s="69"/>
      <c r="R94" s="69"/>
      <c r="S94" s="69"/>
      <c r="T94" s="69"/>
      <c r="U94" s="58"/>
      <c r="V94" s="58"/>
    </row>
    <row r="95" spans="2:22" x14ac:dyDescent="0.3">
      <c r="B95" s="5" t="s">
        <v>417</v>
      </c>
      <c r="C95" s="63"/>
      <c r="D95" s="63">
        <v>-1050</v>
      </c>
      <c r="E95" s="68"/>
      <c r="F95" s="69"/>
      <c r="G95" s="69"/>
      <c r="H95" s="69"/>
      <c r="I95" s="69"/>
      <c r="J95" s="69"/>
      <c r="K95" s="69"/>
      <c r="L95" s="69"/>
      <c r="M95" s="69"/>
      <c r="N95" s="69"/>
      <c r="O95" s="75"/>
      <c r="P95" s="69"/>
      <c r="Q95" s="69"/>
      <c r="R95" s="69"/>
      <c r="S95" s="69"/>
      <c r="T95" s="69"/>
      <c r="U95" s="58"/>
      <c r="V95" s="58"/>
    </row>
    <row r="96" spans="2:22" x14ac:dyDescent="0.3">
      <c r="B96" s="47" t="s">
        <v>435</v>
      </c>
      <c r="C96" s="63"/>
      <c r="D96" s="63">
        <v>-731.5</v>
      </c>
      <c r="E96" s="68"/>
      <c r="F96" s="69"/>
      <c r="G96" s="69"/>
      <c r="H96" s="69"/>
      <c r="I96" s="69"/>
      <c r="J96" s="69"/>
      <c r="K96" s="69"/>
      <c r="L96" s="69"/>
      <c r="M96" s="69"/>
      <c r="N96" s="69"/>
      <c r="O96" s="75"/>
      <c r="P96" s="69"/>
      <c r="Q96" s="69"/>
      <c r="R96" s="69"/>
      <c r="S96" s="69"/>
      <c r="T96" s="69"/>
      <c r="U96" s="58"/>
      <c r="V96" s="58"/>
    </row>
    <row r="97" spans="2:22" x14ac:dyDescent="0.3">
      <c r="B97" s="5" t="s">
        <v>427</v>
      </c>
      <c r="C97" s="63">
        <v>1500</v>
      </c>
      <c r="D97" s="63"/>
      <c r="E97" s="68"/>
      <c r="F97" s="69"/>
      <c r="G97" s="69"/>
      <c r="H97" s="69"/>
      <c r="I97" s="69"/>
      <c r="J97" s="69"/>
      <c r="K97" s="69"/>
      <c r="L97" s="69"/>
      <c r="M97" s="69"/>
      <c r="N97" s="69"/>
      <c r="O97" s="75"/>
      <c r="P97" s="69"/>
      <c r="Q97" s="69"/>
      <c r="R97" s="69"/>
      <c r="S97" s="69"/>
      <c r="T97" s="69"/>
      <c r="U97" s="58"/>
      <c r="V97" s="58"/>
    </row>
    <row r="98" spans="2:22" x14ac:dyDescent="0.3">
      <c r="B98" s="5" t="s">
        <v>425</v>
      </c>
      <c r="C98" s="63">
        <v>5091.2700000000004</v>
      </c>
      <c r="D98" s="63"/>
      <c r="E98" s="68"/>
      <c r="F98" s="69"/>
      <c r="G98" s="69"/>
      <c r="H98" s="69"/>
      <c r="I98" s="69"/>
      <c r="J98" s="69"/>
      <c r="K98" s="69"/>
      <c r="L98" s="69"/>
      <c r="M98" s="69"/>
      <c r="N98" s="69"/>
      <c r="O98" s="75"/>
      <c r="P98" s="69"/>
      <c r="Q98" s="69"/>
      <c r="R98" s="69"/>
      <c r="S98" s="69"/>
      <c r="T98" s="69"/>
      <c r="U98" s="58"/>
      <c r="V98" s="58"/>
    </row>
    <row r="99" spans="2:22" x14ac:dyDescent="0.3">
      <c r="B99" s="5" t="s">
        <v>438</v>
      </c>
      <c r="C99" s="63">
        <v>53998.659999999996</v>
      </c>
      <c r="D99" s="63"/>
      <c r="E99" s="68"/>
      <c r="F99" s="69"/>
      <c r="G99" s="69"/>
      <c r="H99" s="69"/>
      <c r="I99" s="69"/>
      <c r="J99" s="69"/>
      <c r="K99" s="69"/>
      <c r="L99" s="69"/>
      <c r="M99" s="69"/>
      <c r="N99" s="69"/>
      <c r="O99" s="75"/>
      <c r="P99" s="69"/>
      <c r="Q99" s="69"/>
      <c r="R99" s="69"/>
      <c r="S99" s="69"/>
      <c r="T99" s="69"/>
      <c r="U99" s="58"/>
      <c r="V99" s="58"/>
    </row>
    <row r="100" spans="2:22" ht="15" thickBot="1" x14ac:dyDescent="0.35">
      <c r="B100" s="28" t="s">
        <v>407</v>
      </c>
      <c r="C100" s="64">
        <f>SUBTOTAL(9,C97:C99)</f>
        <v>60589.929999999993</v>
      </c>
      <c r="D100" s="64">
        <f>SUM(D74:D99)</f>
        <v>-796422.64999999991</v>
      </c>
      <c r="E100" s="68"/>
      <c r="F100" s="69"/>
      <c r="G100" s="69"/>
      <c r="H100" s="69"/>
      <c r="I100" s="69"/>
      <c r="J100" s="69"/>
      <c r="K100" s="69"/>
      <c r="L100" s="69"/>
      <c r="M100" s="69"/>
      <c r="N100" s="69"/>
      <c r="O100" s="75"/>
      <c r="P100" s="69"/>
      <c r="Q100" s="69"/>
      <c r="R100" s="69"/>
      <c r="S100" s="69"/>
      <c r="T100" s="69"/>
      <c r="U100" s="58"/>
      <c r="V100" s="58"/>
    </row>
    <row r="101" spans="2:22" ht="15" thickTop="1" x14ac:dyDescent="0.3">
      <c r="C101" s="60" t="e">
        <f>#REF!-C100</f>
        <v>#REF!</v>
      </c>
      <c r="D101" s="60" t="e">
        <f>#REF!-D100</f>
        <v>#REF!</v>
      </c>
      <c r="E101" s="60"/>
      <c r="F101" s="58"/>
      <c r="G101" s="58"/>
      <c r="H101" s="58"/>
      <c r="I101" s="58"/>
      <c r="J101" s="58"/>
      <c r="K101" s="58"/>
      <c r="L101" s="58"/>
      <c r="M101" s="58"/>
      <c r="N101" s="58"/>
      <c r="O101" s="76"/>
      <c r="P101" s="58"/>
      <c r="Q101" s="58"/>
      <c r="R101" s="58"/>
      <c r="S101" s="58"/>
      <c r="T101" s="58"/>
      <c r="U101" s="58"/>
      <c r="V101" s="58"/>
    </row>
  </sheetData>
  <printOptions horizontalCentered="1" verticalCentered="1" gridLines="1"/>
  <pageMargins left="0.15748031496063" right="0.15748031496063" top="0.28999999999999998" bottom="0.3" header="0.13" footer="0.05"/>
  <pageSetup paperSize="9" scale="65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9062-DEA5-4846-AC93-1947B33388A4}">
  <dimension ref="A2:H34"/>
  <sheetViews>
    <sheetView topLeftCell="A21" workbookViewId="0">
      <selection activeCell="H31" sqref="H31"/>
    </sheetView>
  </sheetViews>
  <sheetFormatPr defaultRowHeight="14.4" x14ac:dyDescent="0.3"/>
  <cols>
    <col min="1" max="1" width="10.6640625" customWidth="1"/>
    <col min="2" max="2" width="85.109375" customWidth="1"/>
    <col min="3" max="3" width="20.88671875" customWidth="1"/>
    <col min="4" max="4" width="12.5546875" customWidth="1"/>
    <col min="6" max="6" width="11.33203125" customWidth="1"/>
  </cols>
  <sheetData>
    <row r="2" spans="1:8" x14ac:dyDescent="0.3">
      <c r="A2" s="48" t="s">
        <v>440</v>
      </c>
      <c r="B2" s="48" t="s">
        <v>441</v>
      </c>
      <c r="C2" s="48" t="s">
        <v>442</v>
      </c>
    </row>
    <row r="3" spans="1:8" ht="57.6" x14ac:dyDescent="0.3">
      <c r="A3" s="49">
        <v>45910</v>
      </c>
      <c r="B3" s="51" t="s">
        <v>467</v>
      </c>
      <c r="C3">
        <v>51305.64</v>
      </c>
    </row>
    <row r="5" spans="1:8" x14ac:dyDescent="0.3">
      <c r="B5" s="50" t="s">
        <v>443</v>
      </c>
      <c r="C5" s="50" t="s">
        <v>444</v>
      </c>
      <c r="D5" s="50" t="s">
        <v>442</v>
      </c>
      <c r="E5" s="50" t="s">
        <v>445</v>
      </c>
      <c r="F5" s="50" t="s">
        <v>446</v>
      </c>
    </row>
    <row r="6" spans="1:8" x14ac:dyDescent="0.3">
      <c r="A6">
        <v>1</v>
      </c>
      <c r="B6" s="51" t="s">
        <v>505</v>
      </c>
      <c r="C6" s="51" t="s">
        <v>496</v>
      </c>
      <c r="D6" s="52">
        <v>19870</v>
      </c>
      <c r="E6" s="53">
        <v>577.23</v>
      </c>
      <c r="F6" s="53">
        <f>D6-E6</f>
        <v>19292.77</v>
      </c>
      <c r="H6" t="s">
        <v>530</v>
      </c>
    </row>
    <row r="7" spans="1:8" x14ac:dyDescent="0.3">
      <c r="A7">
        <f>A6+1</f>
        <v>2</v>
      </c>
      <c r="B7" s="51" t="s">
        <v>505</v>
      </c>
      <c r="C7" t="s">
        <v>497</v>
      </c>
      <c r="D7" s="52">
        <v>32970</v>
      </c>
      <c r="E7" s="53">
        <v>957.13</v>
      </c>
      <c r="F7" s="53">
        <f>D7-E7</f>
        <v>32012.87</v>
      </c>
      <c r="H7" t="s">
        <v>531</v>
      </c>
    </row>
    <row r="8" spans="1:8" ht="15" thickBot="1" x14ac:dyDescent="0.35">
      <c r="B8" s="48" t="s">
        <v>447</v>
      </c>
      <c r="D8" s="54">
        <f>SUM(D6:D7)</f>
        <v>52840</v>
      </c>
      <c r="E8" s="54">
        <f t="shared" ref="E8:F8" si="0">SUM(E6:E7)</f>
        <v>1534.3600000000001</v>
      </c>
      <c r="F8" s="54">
        <f t="shared" si="0"/>
        <v>51305.64</v>
      </c>
    </row>
    <row r="9" spans="1:8" ht="15" thickTop="1" x14ac:dyDescent="0.3"/>
    <row r="10" spans="1:8" x14ac:dyDescent="0.3">
      <c r="A10" s="48" t="s">
        <v>440</v>
      </c>
      <c r="B10" s="48" t="s">
        <v>441</v>
      </c>
      <c r="C10" s="48" t="s">
        <v>442</v>
      </c>
    </row>
    <row r="11" spans="1:8" ht="57.6" x14ac:dyDescent="0.3">
      <c r="A11" s="49">
        <v>45916</v>
      </c>
      <c r="B11" s="7" t="s">
        <v>472</v>
      </c>
      <c r="C11" s="55">
        <v>51305.64</v>
      </c>
    </row>
    <row r="13" spans="1:8" x14ac:dyDescent="0.3">
      <c r="B13" s="50" t="s">
        <v>448</v>
      </c>
      <c r="C13" s="50" t="s">
        <v>444</v>
      </c>
      <c r="D13" s="50" t="s">
        <v>442</v>
      </c>
      <c r="E13" s="50" t="s">
        <v>445</v>
      </c>
      <c r="F13" s="50" t="s">
        <v>446</v>
      </c>
    </row>
    <row r="14" spans="1:8" x14ac:dyDescent="0.3">
      <c r="A14">
        <v>1</v>
      </c>
      <c r="B14" s="51" t="s">
        <v>505</v>
      </c>
      <c r="C14" t="s">
        <v>499</v>
      </c>
      <c r="D14" s="52">
        <v>19870</v>
      </c>
      <c r="E14" s="53">
        <v>577.23</v>
      </c>
      <c r="F14" s="53">
        <f>D14-E14</f>
        <v>19292.77</v>
      </c>
      <c r="H14" t="s">
        <v>532</v>
      </c>
    </row>
    <row r="15" spans="1:8" x14ac:dyDescent="0.3">
      <c r="A15">
        <f>A14+1</f>
        <v>2</v>
      </c>
      <c r="B15" s="51" t="s">
        <v>505</v>
      </c>
      <c r="C15" t="s">
        <v>500</v>
      </c>
      <c r="D15" s="52">
        <v>32970</v>
      </c>
      <c r="E15" s="53">
        <v>957.13</v>
      </c>
      <c r="F15" s="53">
        <f t="shared" ref="F15" si="1">D15-E15</f>
        <v>32012.87</v>
      </c>
      <c r="H15" t="s">
        <v>533</v>
      </c>
    </row>
    <row r="16" spans="1:8" x14ac:dyDescent="0.3">
      <c r="B16" s="51"/>
      <c r="D16" s="52"/>
      <c r="E16" s="53"/>
      <c r="F16" s="53"/>
    </row>
    <row r="17" spans="1:8" ht="15" thickBot="1" x14ac:dyDescent="0.35">
      <c r="B17" s="48" t="s">
        <v>447</v>
      </c>
      <c r="D17" s="54">
        <f>SUM(D14:D16)</f>
        <v>52840</v>
      </c>
      <c r="E17" s="54">
        <f>SUM(E14:E16)</f>
        <v>1534.3600000000001</v>
      </c>
      <c r="F17" s="54">
        <f>SUM(F14:F16)</f>
        <v>51305.64</v>
      </c>
    </row>
    <row r="18" spans="1:8" ht="15" thickTop="1" x14ac:dyDescent="0.3"/>
    <row r="19" spans="1:8" x14ac:dyDescent="0.3">
      <c r="A19" s="48" t="s">
        <v>440</v>
      </c>
      <c r="B19" s="48" t="s">
        <v>441</v>
      </c>
      <c r="C19" s="48" t="s">
        <v>442</v>
      </c>
    </row>
    <row r="20" spans="1:8" ht="57.6" x14ac:dyDescent="0.3">
      <c r="A20" s="23">
        <v>45917</v>
      </c>
      <c r="B20" s="7" t="s">
        <v>474</v>
      </c>
      <c r="C20" s="55">
        <v>19292.77</v>
      </c>
    </row>
    <row r="22" spans="1:8" x14ac:dyDescent="0.3">
      <c r="B22" s="50" t="s">
        <v>448</v>
      </c>
      <c r="C22" s="50" t="s">
        <v>444</v>
      </c>
      <c r="D22" s="50" t="s">
        <v>442</v>
      </c>
      <c r="E22" s="50" t="s">
        <v>445</v>
      </c>
      <c r="F22" s="50" t="s">
        <v>446</v>
      </c>
    </row>
    <row r="23" spans="1:8" x14ac:dyDescent="0.3">
      <c r="A23">
        <v>1</v>
      </c>
      <c r="B23" s="51" t="s">
        <v>505</v>
      </c>
      <c r="C23" t="s">
        <v>522</v>
      </c>
      <c r="D23" s="52">
        <v>19870</v>
      </c>
      <c r="E23" s="53">
        <v>577.23</v>
      </c>
      <c r="F23" s="53">
        <f t="shared" ref="F23" si="2">D23-E23</f>
        <v>19292.77</v>
      </c>
      <c r="H23" t="s">
        <v>534</v>
      </c>
    </row>
    <row r="24" spans="1:8" x14ac:dyDescent="0.3">
      <c r="B24" s="51"/>
      <c r="D24" s="52"/>
      <c r="E24" s="53"/>
      <c r="F24" s="53">
        <f>D24-E24</f>
        <v>0</v>
      </c>
    </row>
    <row r="25" spans="1:8" ht="15" thickBot="1" x14ac:dyDescent="0.35">
      <c r="B25" s="48" t="s">
        <v>447</v>
      </c>
      <c r="D25" s="54">
        <f>SUM(D23:D24)</f>
        <v>19870</v>
      </c>
      <c r="E25" s="54">
        <f>SUM(E23:E24)</f>
        <v>577.23</v>
      </c>
      <c r="F25" s="54">
        <f>SUM(F23:F24)</f>
        <v>19292.77</v>
      </c>
    </row>
    <row r="26" spans="1:8" ht="15" thickTop="1" x14ac:dyDescent="0.3"/>
    <row r="27" spans="1:8" x14ac:dyDescent="0.3">
      <c r="A27" s="48" t="s">
        <v>440</v>
      </c>
      <c r="B27" s="48" t="s">
        <v>441</v>
      </c>
      <c r="C27" s="48" t="s">
        <v>442</v>
      </c>
    </row>
    <row r="28" spans="1:8" ht="57.6" x14ac:dyDescent="0.3">
      <c r="A28" s="23">
        <v>45922</v>
      </c>
      <c r="B28" s="7" t="s">
        <v>476</v>
      </c>
      <c r="C28" s="55">
        <v>19292.77</v>
      </c>
    </row>
    <row r="30" spans="1:8" x14ac:dyDescent="0.3">
      <c r="B30" s="50" t="s">
        <v>448</v>
      </c>
      <c r="C30" s="50" t="s">
        <v>444</v>
      </c>
      <c r="D30" s="50" t="s">
        <v>442</v>
      </c>
      <c r="E30" s="50" t="s">
        <v>445</v>
      </c>
      <c r="F30" s="50" t="s">
        <v>446</v>
      </c>
    </row>
    <row r="31" spans="1:8" x14ac:dyDescent="0.3">
      <c r="A31">
        <v>1</v>
      </c>
      <c r="B31" s="51" t="s">
        <v>505</v>
      </c>
      <c r="C31" t="s">
        <v>501</v>
      </c>
      <c r="D31" s="52">
        <v>19870</v>
      </c>
      <c r="E31" s="53">
        <v>577.23</v>
      </c>
      <c r="F31" s="53">
        <f t="shared" ref="F31" si="3">D31-E31</f>
        <v>19292.77</v>
      </c>
      <c r="H31" t="s">
        <v>535</v>
      </c>
    </row>
    <row r="32" spans="1:8" x14ac:dyDescent="0.3">
      <c r="B32" s="51"/>
      <c r="D32" s="52"/>
      <c r="E32" s="53"/>
      <c r="F32" s="53">
        <f>D32-E32</f>
        <v>0</v>
      </c>
    </row>
    <row r="33" spans="2:6" ht="15" thickBot="1" x14ac:dyDescent="0.35">
      <c r="B33" s="48" t="s">
        <v>447</v>
      </c>
      <c r="D33" s="54">
        <f>SUM(D31:D32)</f>
        <v>19870</v>
      </c>
      <c r="E33" s="54">
        <f>SUM(E31:E32)</f>
        <v>577.23</v>
      </c>
      <c r="F33" s="54">
        <f>SUM(F31:F32)</f>
        <v>19292.77</v>
      </c>
    </row>
    <row r="34" spans="2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2022</vt:lpstr>
      <vt:lpstr>2023</vt:lpstr>
      <vt:lpstr>Bank Analysis</vt:lpstr>
      <vt:lpstr>Sheet1</vt:lpstr>
      <vt:lpstr>'2022'!Print_Area</vt:lpstr>
      <vt:lpstr>'2023'!Print_Area</vt:lpstr>
      <vt:lpstr>'Bank Analysis'!Print_Area</vt:lpstr>
      <vt:lpstr>'2023'!Print_Titles</vt:lpstr>
      <vt:lpstr>'Bank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 Shah</dc:creator>
  <cp:lastModifiedBy>Westin Misquith</cp:lastModifiedBy>
  <cp:lastPrinted>2025-07-01T12:35:34Z</cp:lastPrinted>
  <dcterms:created xsi:type="dcterms:W3CDTF">2024-06-13T09:31:13Z</dcterms:created>
  <dcterms:modified xsi:type="dcterms:W3CDTF">2025-10-10T10:12:00Z</dcterms:modified>
</cp:coreProperties>
</file>